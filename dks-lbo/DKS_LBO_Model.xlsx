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Operating Model" sheetId="3" state="visible" r:id="rId3"/>
    <sheet name="Debt Schedule" sheetId="4" state="visible" r:id="rId4"/>
    <sheet name="Returns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0.0%"/>
    <numFmt numFmtId="166" formatCode="0.000000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b val="1"/>
      <color rgb="001F3864"/>
      <sz val="13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17375E"/>
      <sz val="10"/>
    </font>
    <font>
      <name val="Calibri"/>
      <i val="1"/>
      <color rgb="001F1F1F"/>
      <sz val="9.5"/>
    </font>
    <font>
      <name val="Calibri"/>
      <b val="1"/>
      <color rgb="001F3864"/>
      <sz val="9"/>
    </font>
    <font>
      <name val="Calibri"/>
      <color rgb="001F1F1F"/>
      <sz val="9"/>
    </font>
    <font>
      <name val="Calibri"/>
      <i val="1"/>
      <color rgb="009E9E9E"/>
      <sz val="8.5"/>
    </font>
    <font>
      <name val="Calibri"/>
      <i val="1"/>
      <color rgb="009E9E9E"/>
      <sz val="7.5"/>
    </font>
    <font>
      <name val="Calibri"/>
      <color rgb="00000000"/>
      <sz val="10"/>
    </font>
    <font>
      <name val="Calibri"/>
      <color rgb="0017375E"/>
      <sz val="10"/>
    </font>
    <font>
      <name val="Calibri"/>
      <b val="1"/>
      <color rgb="00000000"/>
      <sz val="10"/>
    </font>
    <font>
      <name val="Calibri"/>
      <b val="1"/>
      <color rgb="001F3864"/>
      <sz val="12"/>
    </font>
    <font>
      <name val="Calibri"/>
      <color rgb="00375623"/>
      <sz val="10"/>
    </font>
    <font>
      <name val="Calibri"/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BE5F1"/>
      </patternFill>
    </fill>
    <fill>
      <patternFill patternType="solid">
        <fgColor rgb="002F5496"/>
      </patternFill>
    </fill>
    <fill>
      <patternFill patternType="solid">
        <fgColor rgb="00EBF1DE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right" vertical="center"/>
    </xf>
    <xf numFmtId="0" fontId="0" fillId="4" borderId="0" pivotButton="0" quotePrefix="0" xfId="0"/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indent="1"/>
    </xf>
    <xf numFmtId="3" fontId="13" fillId="5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3" fontId="12" fillId="0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3" fontId="14" fillId="3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10" fontId="13" fillId="5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6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5" fillId="0" borderId="0" pivotButton="0" quotePrefix="0" xfId="0"/>
    <xf numFmtId="0" fontId="14" fillId="0" borderId="0" applyAlignment="1" pivotButton="0" quotePrefix="0" xfId="0">
      <alignment horizontal="left" vertical="center"/>
    </xf>
    <xf numFmtId="3" fontId="16" fillId="7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10" fontId="16" fillId="7" borderId="0" applyAlignment="1" pivotButton="0" quotePrefix="0" xfId="0">
      <alignment horizontal="right" vertical="center"/>
    </xf>
    <xf numFmtId="164" fontId="16" fillId="7" borderId="0" applyAlignment="1" pivotButton="0" quotePrefix="0" xfId="0">
      <alignment horizontal="right" vertical="center"/>
    </xf>
    <xf numFmtId="164" fontId="14" fillId="3" borderId="0" applyAlignment="1" pivotButton="0" quotePrefix="0" xfId="0">
      <alignment horizontal="right" vertical="center"/>
    </xf>
    <xf numFmtId="0" fontId="16" fillId="7" borderId="0" applyAlignment="1" pivotButton="0" quotePrefix="0" xfId="0">
      <alignment horizontal="right" vertical="center"/>
    </xf>
    <xf numFmtId="165" fontId="14" fillId="3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0" fontId="17" fillId="0" borderId="0" pivotButton="0" quotePrefix="0" xfId="0"/>
    <xf numFmtId="164" fontId="12" fillId="0" borderId="0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4" customWidth="1" min="4" max="4"/>
    <col width="28" customWidth="1" min="5" max="5"/>
    <col width="14" customWidth="1" min="6" max="6"/>
    <col width="2" customWidth="1" min="7" max="7"/>
  </cols>
  <sheetData>
    <row r="3" ht="32" customHeight="1">
      <c r="B3" s="1" t="inlineStr">
        <is>
          <t>LEVERAGED BUYOUT ANALYSIS</t>
        </is>
      </c>
    </row>
    <row r="4" ht="4" customHeight="1"/>
    <row r="5" ht="20" customHeight="1">
      <c r="B5" s="2" t="inlineStr">
        <is>
          <t>Dick's Sporting Goods, Inc.  (NYSE: DKS)</t>
        </is>
      </c>
    </row>
    <row r="6" ht="16" customHeight="1">
      <c r="B6" s="3" t="inlineStr">
        <is>
          <t>Consumer Retail  •  Big-Box Sporting Goods  •  Transaction Date: 2026</t>
        </is>
      </c>
    </row>
    <row r="7" ht="6" customHeight="1">
      <c r="B7" s="4" t="n"/>
    </row>
    <row r="8" ht="16" customHeight="1">
      <c r="B8" s="5" t="inlineStr">
        <is>
          <t>TRANSACTION SUMMARY</t>
        </is>
      </c>
    </row>
    <row r="9" ht="18" customHeight="1">
      <c r="B9" s="6" t="inlineStr">
        <is>
          <t>Transaction Enterprise Value ($M)</t>
        </is>
      </c>
      <c r="C9" s="7">
        <f>'Assumptions'!B8</f>
        <v/>
      </c>
      <c r="D9" s="8" t="n"/>
      <c r="E9" s="6" t="inlineStr">
        <is>
          <t>Entry EV / LTM EBITDA Multiple</t>
        </is>
      </c>
      <c r="F9" s="9">
        <f>'Assumptions'!B7</f>
        <v/>
      </c>
    </row>
    <row r="10" ht="18" customHeight="1">
      <c r="B10" s="6" t="inlineStr">
        <is>
          <t>Total Leverage at Close (x)</t>
        </is>
      </c>
      <c r="C10" s="9">
        <f>'Assumptions'!B23</f>
        <v/>
      </c>
      <c r="D10" s="8" t="n"/>
      <c r="E10" s="6" t="inlineStr">
        <is>
          <t>Sponsor Equity ($M)</t>
        </is>
      </c>
      <c r="F10" s="7">
        <f>'Assumptions'!B21</f>
        <v/>
      </c>
    </row>
    <row r="11" ht="18" customHeight="1">
      <c r="B11" s="6" t="inlineStr">
        <is>
          <t>Projected IRR — Year 5</t>
        </is>
      </c>
      <c r="C11" s="10">
        <f>Returns!B17</f>
        <v/>
      </c>
      <c r="D11" s="8" t="n"/>
      <c r="E11" s="6" t="inlineStr">
        <is>
          <t>Projected MOIC — Year 5</t>
        </is>
      </c>
      <c r="F11" s="9">
        <f>Returns!B15</f>
        <v/>
      </c>
    </row>
    <row r="13" ht="16" customHeight="1">
      <c r="B13" s="5" t="inlineStr">
        <is>
          <t>DEAL RATIONALE</t>
        </is>
      </c>
    </row>
    <row r="14" ht="60" customHeight="1">
      <c r="B14" s="11">
        <f>"DKS is the last major national big-box sporting goods retailer standing — Sports Authority filed for bankruptcy in 2016 and Modell’s followed in 2020. Entry at "&amp;TEXT(Assumptions!B7,"0.0x")&amp;" LTM EBITDA acquires a share-gaining platform: private label penetration from ~15% toward 20%+ drives EBITDA margin from "&amp;TEXT(Assumptions!B6,"0.0%")&amp;" to "&amp;TEXT(Assumptions!G38,"0.0%")&amp;". Cash sweeps cut leverage from "&amp;TEXT(Assumptions!B23,"0.0x")&amp;" at entry to "&amp;TEXT('Debt Schedule'!G23,"0.0x")&amp;" at exit; with a "&amp;TEXT(Assumptions!B45,"0.0x")&amp;" exit the deal returns "&amp;TEXT(Returns!B15,"0.0x")&amp;" MOIC / "&amp;TEXT(Returns!B17,"0.0%")&amp;" IRR over "&amp;Assumptions!B44&amp;" years."</f>
        <v/>
      </c>
    </row>
    <row r="16" ht="16" customHeight="1">
      <c r="B16" s="5" t="inlineStr">
        <is>
          <t>VALUE CREATION DRIVERS</t>
        </is>
      </c>
    </row>
    <row r="17" ht="28" customHeight="1">
      <c r="B17" s="12" t="inlineStr">
        <is>
          <t>MARKET CONSOLIDATION</t>
        </is>
      </c>
      <c r="C17" s="13" t="inlineStr">
        <is>
          <t>Sole surviving national platform in a $50B+ addressable market; no credible large-format competitor to rebuild — market share gains are structural and durable.</t>
        </is>
      </c>
    </row>
    <row r="18" ht="28" customHeight="1">
      <c r="B18" s="12" t="inlineStr">
        <is>
          <t>PRIVATE LABEL EXPANSION</t>
        </is>
      </c>
      <c r="C18" s="13" t="inlineStr">
        <is>
          <t>DSG and Alpine Design carry 500–800bps EBITDA margin premium vs. national brands; growing mix from ~15% to 20%+ drives ~350bps of margin expansion across the hold period.</t>
        </is>
      </c>
    </row>
    <row r="19" ht="28" customHeight="1">
      <c r="B19" s="12" t="inlineStr">
        <is>
          <t>EXPERIENTIAL DIFFERENTIATION</t>
        </is>
      </c>
      <c r="C19" s="13" t="inlineStr">
        <is>
          <t>House of Sport flagship format (climbing walls, batting cages, TrackMan simulators) drives higher AUR and traffic that e-commerce cannot replicate.</t>
        </is>
      </c>
    </row>
    <row r="20" ht="28" customHeight="1">
      <c r="B20" s="12" t="inlineStr">
        <is>
          <t>CASH FLOW DELEVERAGING</t>
        </is>
      </c>
      <c r="C20" s="13">
        <f>"$"&amp;TEXT((Assumptions!B17-'Debt Schedule'!G8)/1000,"0.0")&amp;"B of TLB paydown takes net debt from $"&amp;TEXT(Assumptions!B20/1000,"0.0")&amp;"B to $"&amp;TEXT('Debt Schedule'!G22/1000,"0.0")&amp;"B; equity value compounds through debt paydown, EBITDA growth and exit multiple re-rating."</f>
        <v/>
      </c>
    </row>
    <row r="22" ht="14" customHeight="1">
      <c r="B22" s="14" t="inlineStr">
        <is>
          <t>STRICTLY CONFIDENTIAL — FOR DISCUSSION PURPOSES ONLY</t>
        </is>
      </c>
    </row>
    <row r="24" ht="12" customHeight="1">
      <c r="B24" s="15" t="inlineStr">
        <is>
          <t>Francisco Rodriguez  |  Financial Modeling Portfolio  |  github.com/Azyo1</t>
        </is>
      </c>
    </row>
  </sheetData>
  <mergeCells count="15">
    <mergeCell ref="B4:F4"/>
    <mergeCell ref="C18:F18"/>
    <mergeCell ref="B7:F7"/>
    <mergeCell ref="C17:F17"/>
    <mergeCell ref="B6:F6"/>
    <mergeCell ref="B24:F24"/>
    <mergeCell ref="B16:F16"/>
    <mergeCell ref="C20:F20"/>
    <mergeCell ref="B3:F3"/>
    <mergeCell ref="B5:F5"/>
    <mergeCell ref="B14:F14"/>
    <mergeCell ref="B22:F22"/>
    <mergeCell ref="B8:F8"/>
    <mergeCell ref="C19:F1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3:G4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3">
      <c r="A3" s="5" t="inlineStr">
        <is>
          <t>TRANSACTION ASSUMPTIONS</t>
        </is>
      </c>
    </row>
    <row r="4">
      <c r="A4" s="16" t="inlineStr">
        <is>
          <t>LTM Revenue ($M)</t>
        </is>
      </c>
      <c r="B4" s="17" t="n">
        <v>13440</v>
      </c>
    </row>
    <row r="5">
      <c r="A5" s="16" t="inlineStr">
        <is>
          <t>LTM EBITDA ($M)</t>
        </is>
      </c>
      <c r="B5" s="17" t="n">
        <v>1870</v>
      </c>
    </row>
    <row r="6">
      <c r="A6" s="16" t="inlineStr">
        <is>
          <t>LTM EBITDA Margin</t>
        </is>
      </c>
      <c r="B6" s="18">
        <f>B5/B4</f>
        <v/>
      </c>
    </row>
    <row r="7">
      <c r="A7" s="16" t="inlineStr">
        <is>
          <t>Entry EV / LTM EBITDA Multiple</t>
        </is>
      </c>
      <c r="B7" s="19" t="n">
        <v>9</v>
      </c>
    </row>
    <row r="8">
      <c r="A8" s="16" t="inlineStr">
        <is>
          <t>Transaction Enterprise Value ($M)</t>
        </is>
      </c>
      <c r="B8" s="20">
        <f>B5*B7</f>
        <v/>
      </c>
    </row>
    <row r="9">
      <c r="A9" s="16" t="inlineStr">
        <is>
          <t>Existing Net Debt at Close ($M)</t>
        </is>
      </c>
      <c r="B9" s="17" t="n">
        <v>300</v>
      </c>
    </row>
    <row r="10">
      <c r="A10" s="16" t="inlineStr">
        <is>
          <t>Purchase of Equity ($M)</t>
        </is>
      </c>
      <c r="B10" s="20">
        <f>B8-B9</f>
        <v/>
      </c>
    </row>
    <row r="11">
      <c r="A11" s="16" t="inlineStr">
        <is>
          <t>Transaction Fees (% of TEV)</t>
        </is>
      </c>
      <c r="B11" s="21" t="n">
        <v>0.02</v>
      </c>
    </row>
    <row r="12">
      <c r="A12" s="16" t="inlineStr">
        <is>
          <t>Transaction Fees ($M)</t>
        </is>
      </c>
      <c r="B12" s="20">
        <f>B8*B11</f>
        <v/>
      </c>
    </row>
    <row r="13">
      <c r="A13" s="16" t="inlineStr">
        <is>
          <t>Refinance Existing Net Debt ($M)</t>
        </is>
      </c>
      <c r="B13" s="20">
        <f>B9</f>
        <v/>
      </c>
    </row>
    <row r="14">
      <c r="A14" s="22" t="inlineStr">
        <is>
          <t>Total Uses ($M)</t>
        </is>
      </c>
      <c r="B14" s="23">
        <f>B10+B12+B13</f>
        <v/>
      </c>
    </row>
    <row r="15">
      <c r="A15" s="5" t="inlineStr">
        <is>
          <t>SOURCES OF FUNDS</t>
        </is>
      </c>
    </row>
    <row r="16">
      <c r="A16" s="16" t="inlineStr">
        <is>
          <t>Term Loan B — Leverage Multiple (x LTM EBITDA)</t>
        </is>
      </c>
      <c r="B16" s="19" t="n">
        <v>5.5</v>
      </c>
    </row>
    <row r="17">
      <c r="A17" s="16" t="inlineStr">
        <is>
          <t>Term Loan B ($M)</t>
        </is>
      </c>
      <c r="B17" s="20">
        <f>B5*B16</f>
        <v/>
      </c>
    </row>
    <row r="18">
      <c r="A18" s="16" t="inlineStr">
        <is>
          <t>Revolving Credit Facility — Capacity ($M)</t>
        </is>
      </c>
      <c r="B18" s="17" t="n">
        <v>750</v>
      </c>
    </row>
    <row r="19">
      <c r="A19" s="16" t="inlineStr">
        <is>
          <t>Revolving Credit Facility — Drawn at Close ($M)</t>
        </is>
      </c>
      <c r="B19" s="17" t="n">
        <v>0</v>
      </c>
    </row>
    <row r="20">
      <c r="A20" s="16" t="inlineStr">
        <is>
          <t>Total Debt at Close ($M)</t>
        </is>
      </c>
      <c r="B20" s="20">
        <f>B17+B19</f>
        <v/>
      </c>
    </row>
    <row r="21">
      <c r="A21" s="16" t="inlineStr">
        <is>
          <t>Sponsor Equity ($M)</t>
        </is>
      </c>
      <c r="B21" s="20">
        <f>B14-B20</f>
        <v/>
      </c>
    </row>
    <row r="22">
      <c r="A22" s="22" t="inlineStr">
        <is>
          <t>Total Sources ($M)</t>
        </is>
      </c>
      <c r="B22" s="23">
        <f>B20+B21</f>
        <v/>
      </c>
    </row>
    <row r="23">
      <c r="A23" s="16" t="inlineStr">
        <is>
          <t>Leverage at Close (x LTM EBITDA)</t>
        </is>
      </c>
      <c r="B23" s="24">
        <f>B20/B5</f>
        <v/>
      </c>
    </row>
    <row r="24">
      <c r="A24" s="16" t="inlineStr">
        <is>
          <t>Equity Contribution (%)</t>
        </is>
      </c>
      <c r="B24" s="18">
        <f>B21/B14</f>
        <v/>
      </c>
    </row>
    <row r="26">
      <c r="A26" s="5" t="inlineStr">
        <is>
          <t>DEBT TERMS</t>
        </is>
      </c>
    </row>
    <row r="27">
      <c r="A27" s="16" t="inlineStr">
        <is>
          <t>Base Rate (SOFR)</t>
        </is>
      </c>
      <c r="B27" s="25" t="n">
        <v>0.037</v>
      </c>
    </row>
    <row r="28">
      <c r="A28" s="16" t="inlineStr">
        <is>
          <t>Term Loan B — Credit Spread</t>
        </is>
      </c>
      <c r="B28" s="25" t="n">
        <v>0.035</v>
      </c>
    </row>
    <row r="29">
      <c r="A29" s="16" t="inlineStr">
        <is>
          <t>Term Loan B — All-In Interest Rate</t>
        </is>
      </c>
      <c r="B29" s="26">
        <f>B27+B28</f>
        <v/>
      </c>
    </row>
    <row r="30">
      <c r="A30" s="16" t="inlineStr">
        <is>
          <t>Term Loan B — Annual Amortization (%)</t>
        </is>
      </c>
      <c r="B30" s="21" t="n">
        <v>0.01</v>
      </c>
    </row>
    <row r="31">
      <c r="A31" s="16" t="inlineStr">
        <is>
          <t>Revolving Credit Facility — Credit Spread</t>
        </is>
      </c>
      <c r="B31" s="25" t="n">
        <v>0.0275</v>
      </c>
    </row>
    <row r="32">
      <c r="A32" s="16" t="inlineStr">
        <is>
          <t>Revolving Credit Facility — All-In Rate</t>
        </is>
      </c>
      <c r="B32" s="26">
        <f>B27+B31</f>
        <v/>
      </c>
    </row>
    <row r="33">
      <c r="A33" s="16" t="inlineStr">
        <is>
          <t>Undrawn Commitment Fee (%)</t>
        </is>
      </c>
      <c r="B33" s="25" t="n">
        <v>0.00375</v>
      </c>
    </row>
    <row r="34">
      <c r="A34" s="16" t="inlineStr">
        <is>
          <t>Cash Tax Rate</t>
        </is>
      </c>
      <c r="B34" s="21" t="n">
        <v>0.25</v>
      </c>
    </row>
    <row r="36">
      <c r="A36" s="5" t="inlineStr">
        <is>
          <t>OPERATING ASSUMPTIONS</t>
        </is>
      </c>
      <c r="B36" s="27" t="n"/>
      <c r="C36" s="28" t="inlineStr">
        <is>
          <t>Year 1</t>
        </is>
      </c>
      <c r="D36" s="28" t="inlineStr">
        <is>
          <t>Year 2</t>
        </is>
      </c>
      <c r="E36" s="28" t="inlineStr">
        <is>
          <t>Year 3</t>
        </is>
      </c>
      <c r="F36" s="28" t="inlineStr">
        <is>
          <t>Year 4</t>
        </is>
      </c>
      <c r="G36" s="28" t="inlineStr">
        <is>
          <t>Year 5</t>
        </is>
      </c>
    </row>
    <row r="37">
      <c r="A37" s="16" t="inlineStr">
        <is>
          <t>Revenue Growth</t>
        </is>
      </c>
      <c r="C37" s="21" t="n">
        <v>0.04</v>
      </c>
      <c r="D37" s="21" t="n">
        <v>0.04</v>
      </c>
      <c r="E37" s="21" t="n">
        <v>0.05</v>
      </c>
      <c r="F37" s="21" t="n">
        <v>0.05</v>
      </c>
      <c r="G37" s="21" t="n">
        <v>0.05</v>
      </c>
    </row>
    <row r="38">
      <c r="A38" s="16" t="inlineStr">
        <is>
          <t>EBITDA Margin</t>
        </is>
      </c>
      <c r="C38" s="21" t="n">
        <v>0.14</v>
      </c>
      <c r="D38" s="21" t="n">
        <v>0.15</v>
      </c>
      <c r="E38" s="21" t="n">
        <v>0.155</v>
      </c>
      <c r="F38" s="21" t="n">
        <v>0.16</v>
      </c>
      <c r="G38" s="21" t="n">
        <v>0.165</v>
      </c>
    </row>
    <row r="39">
      <c r="A39" s="16" t="inlineStr">
        <is>
          <t>D&amp;A (% of Revenue)</t>
        </is>
      </c>
      <c r="C39" s="21" t="n">
        <v>0.027</v>
      </c>
      <c r="D39" s="21" t="n">
        <v>0.027</v>
      </c>
      <c r="E39" s="21" t="n">
        <v>0.027</v>
      </c>
      <c r="F39" s="21" t="n">
        <v>0.027</v>
      </c>
      <c r="G39" s="21" t="n">
        <v>0.027</v>
      </c>
    </row>
    <row r="40">
      <c r="A40" s="16" t="inlineStr">
        <is>
          <t>Capital Expenditures (% of Revenue)</t>
        </is>
      </c>
      <c r="C40" s="21" t="n">
        <v>0.035</v>
      </c>
      <c r="D40" s="21" t="n">
        <v>0.035</v>
      </c>
      <c r="E40" s="21" t="n">
        <v>0.035</v>
      </c>
      <c r="F40" s="21" t="n">
        <v>0.035</v>
      </c>
      <c r="G40" s="21" t="n">
        <v>0.035</v>
      </c>
    </row>
    <row r="41">
      <c r="A41" s="16" t="inlineStr">
        <is>
          <t>Change in NWC (% of Δ Revenue)</t>
        </is>
      </c>
      <c r="C41" s="21" t="n">
        <v>0.05</v>
      </c>
      <c r="D41" s="21" t="n">
        <v>0.05</v>
      </c>
      <c r="E41" s="21" t="n">
        <v>0.05</v>
      </c>
      <c r="F41" s="21" t="n">
        <v>0.05</v>
      </c>
      <c r="G41" s="21" t="n">
        <v>0.05</v>
      </c>
    </row>
    <row r="43">
      <c r="A43" s="5" t="inlineStr">
        <is>
          <t>EXIT ASSUMPTIONS</t>
        </is>
      </c>
    </row>
    <row r="44">
      <c r="A44" s="16" t="inlineStr">
        <is>
          <t>Exit Year</t>
        </is>
      </c>
      <c r="B44" s="29" t="n">
        <v>5</v>
      </c>
    </row>
    <row r="45">
      <c r="A45" s="16" t="inlineStr">
        <is>
          <t>Exit EV / EBITDA Multiple</t>
        </is>
      </c>
      <c r="B45" s="19" t="n">
        <v>10.5</v>
      </c>
    </row>
    <row r="46">
      <c r="A46" s="16" t="inlineStr">
        <is>
          <t>Exit Transaction Fees (% of TEV)</t>
        </is>
      </c>
      <c r="B46" s="21" t="n">
        <v>0.01</v>
      </c>
    </row>
    <row r="47">
      <c r="A47" s="16" t="inlineStr">
        <is>
          <t>Sensitivity Step — Entry / Exit Multiple (x)</t>
        </is>
      </c>
      <c r="B47" s="19" t="n">
        <v>1</v>
      </c>
    </row>
    <row r="49" ht="12" customHeight="1">
      <c r="B49" s="15" t="inlineStr">
        <is>
          <t>Francisco Rodriguez  |  Financial Modeling Portfolio  |  github.com/Azyo1</t>
        </is>
      </c>
    </row>
  </sheetData>
  <mergeCells count="5">
    <mergeCell ref="A3:G3"/>
    <mergeCell ref="A26:G26"/>
    <mergeCell ref="B49:G49"/>
    <mergeCell ref="A15:G15"/>
    <mergeCell ref="A43:G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0" t="inlineStr">
        <is>
          <t>Dick's Sporting Goods — Operating Model</t>
        </is>
      </c>
    </row>
    <row r="3">
      <c r="A3" s="28" t="inlineStr"/>
      <c r="B3" s="28" t="inlineStr">
        <is>
          <t>LTM</t>
        </is>
      </c>
      <c r="C3" s="28" t="inlineStr">
        <is>
          <t>Year 1</t>
        </is>
      </c>
      <c r="D3" s="28" t="inlineStr">
        <is>
          <t>Year 2</t>
        </is>
      </c>
      <c r="E3" s="28" t="inlineStr">
        <is>
          <t>Year 3</t>
        </is>
      </c>
      <c r="F3" s="28" t="inlineStr">
        <is>
          <t>Year 4</t>
        </is>
      </c>
      <c r="G3" s="28" t="inlineStr">
        <is>
          <t>Year 5</t>
        </is>
      </c>
    </row>
    <row r="4">
      <c r="A4" s="5" t="inlineStr">
        <is>
          <t>INCOME STATEMENT</t>
        </is>
      </c>
    </row>
    <row r="5">
      <c r="A5" s="31" t="inlineStr">
        <is>
          <t>Revenue</t>
        </is>
      </c>
      <c r="B5" s="32">
        <f>'Assumptions'!B4</f>
        <v/>
      </c>
      <c r="C5" s="20">
        <f>B5*(1+'Assumptions'!C37)</f>
        <v/>
      </c>
      <c r="D5" s="20">
        <f>C5*(1+'Assumptions'!D37)</f>
        <v/>
      </c>
      <c r="E5" s="20">
        <f>D5*(1+'Assumptions'!E37)</f>
        <v/>
      </c>
      <c r="F5" s="20">
        <f>E5*(1+'Assumptions'!F37)</f>
        <v/>
      </c>
      <c r="G5" s="20">
        <f>F5*(1+'Assumptions'!G37)</f>
        <v/>
      </c>
    </row>
    <row r="6">
      <c r="A6" s="33" t="inlineStr">
        <is>
          <t xml:space="preserve">  Revenue Growth %</t>
        </is>
      </c>
      <c r="B6" s="34" t="inlineStr">
        <is>
          <t>LTM</t>
        </is>
      </c>
      <c r="C6" s="18">
        <f>C5/B5-1</f>
        <v/>
      </c>
      <c r="D6" s="18">
        <f>D5/C5-1</f>
        <v/>
      </c>
      <c r="E6" s="18">
        <f>E5/D5-1</f>
        <v/>
      </c>
      <c r="F6" s="18">
        <f>F5/E5-1</f>
        <v/>
      </c>
      <c r="G6" s="18">
        <f>G5/F5-1</f>
        <v/>
      </c>
    </row>
    <row r="8">
      <c r="A8" s="31" t="inlineStr">
        <is>
          <t>EBITDA</t>
        </is>
      </c>
      <c r="B8" s="32">
        <f>'Assumptions'!B5</f>
        <v/>
      </c>
      <c r="C8" s="20">
        <f>C5*'Assumptions'!C38</f>
        <v/>
      </c>
      <c r="D8" s="20">
        <f>D5*'Assumptions'!D38</f>
        <v/>
      </c>
      <c r="E8" s="20">
        <f>E5*'Assumptions'!E38</f>
        <v/>
      </c>
      <c r="F8" s="20">
        <f>F5*'Assumptions'!F38</f>
        <v/>
      </c>
      <c r="G8" s="20">
        <f>G5*'Assumptions'!G38</f>
        <v/>
      </c>
    </row>
    <row r="9">
      <c r="A9" s="33" t="inlineStr">
        <is>
          <t xml:space="preserve">  EBITDA Margin %</t>
        </is>
      </c>
      <c r="B9" s="18">
        <f>B8/B5</f>
        <v/>
      </c>
      <c r="C9" s="18">
        <f>C8/C5</f>
        <v/>
      </c>
      <c r="D9" s="18">
        <f>D8/D5</f>
        <v/>
      </c>
      <c r="E9" s="18">
        <f>E8/E5</f>
        <v/>
      </c>
      <c r="F9" s="18">
        <f>F8/F5</f>
        <v/>
      </c>
      <c r="G9" s="18">
        <f>G8/G5</f>
        <v/>
      </c>
    </row>
    <row r="11">
      <c r="A11" s="33" t="inlineStr">
        <is>
          <t xml:space="preserve">  Depreciation &amp; Amortization</t>
        </is>
      </c>
      <c r="B11" s="20">
        <f>B5*'Assumptions'!C39</f>
        <v/>
      </c>
      <c r="C11" s="20">
        <f>C5*'Assumptions'!C39</f>
        <v/>
      </c>
      <c r="D11" s="20">
        <f>D5*'Assumptions'!D39</f>
        <v/>
      </c>
      <c r="E11" s="20">
        <f>E5*'Assumptions'!E39</f>
        <v/>
      </c>
      <c r="F11" s="20">
        <f>F5*'Assumptions'!F39</f>
        <v/>
      </c>
      <c r="G11" s="20">
        <f>G5*'Assumptions'!G39</f>
        <v/>
      </c>
    </row>
    <row r="12">
      <c r="A12" s="31" t="inlineStr">
        <is>
          <t>EBIT</t>
        </is>
      </c>
      <c r="B12" s="20">
        <f>B8-B11</f>
        <v/>
      </c>
      <c r="C12" s="20">
        <f>C8-C11</f>
        <v/>
      </c>
      <c r="D12" s="20">
        <f>D8-D11</f>
        <v/>
      </c>
      <c r="E12" s="20">
        <f>E8-E11</f>
        <v/>
      </c>
      <c r="F12" s="20">
        <f>F8-F11</f>
        <v/>
      </c>
      <c r="G12" s="20">
        <f>G8-G11</f>
        <v/>
      </c>
    </row>
    <row r="13">
      <c r="A13" s="33" t="inlineStr">
        <is>
          <t xml:space="preserve">  EBIT Margin %</t>
        </is>
      </c>
      <c r="B13" s="18">
        <f>B12/B5</f>
        <v/>
      </c>
      <c r="C13" s="18">
        <f>C12/C5</f>
        <v/>
      </c>
      <c r="D13" s="18">
        <f>D12/D5</f>
        <v/>
      </c>
      <c r="E13" s="18">
        <f>E12/E5</f>
        <v/>
      </c>
      <c r="F13" s="18">
        <f>F12/F5</f>
        <v/>
      </c>
      <c r="G13" s="18">
        <f>G12/G5</f>
        <v/>
      </c>
    </row>
    <row r="15">
      <c r="A15" s="33" t="inlineStr">
        <is>
          <t xml:space="preserve">  Less: Interest Expense — TLB</t>
        </is>
      </c>
      <c r="B15" s="20" t="n"/>
      <c r="C15" s="32">
        <f>'Debt Schedule'!C10</f>
        <v/>
      </c>
      <c r="D15" s="32">
        <f>'Debt Schedule'!D10</f>
        <v/>
      </c>
      <c r="E15" s="32">
        <f>'Debt Schedule'!E10</f>
        <v/>
      </c>
      <c r="F15" s="32">
        <f>'Debt Schedule'!F10</f>
        <v/>
      </c>
      <c r="G15" s="32">
        <f>'Debt Schedule'!G10</f>
        <v/>
      </c>
    </row>
    <row r="16">
      <c r="A16" s="33" t="inlineStr">
        <is>
          <t xml:space="preserve">  Less: Interest Expense — Revolver</t>
        </is>
      </c>
      <c r="B16" s="20" t="n"/>
      <c r="C16" s="32">
        <f>'Debt Schedule'!C17</f>
        <v/>
      </c>
      <c r="D16" s="32">
        <f>'Debt Schedule'!D17</f>
        <v/>
      </c>
      <c r="E16" s="32">
        <f>'Debt Schedule'!E17</f>
        <v/>
      </c>
      <c r="F16" s="32">
        <f>'Debt Schedule'!F17</f>
        <v/>
      </c>
      <c r="G16" s="32">
        <f>'Debt Schedule'!G17</f>
        <v/>
      </c>
    </row>
    <row r="17">
      <c r="A17" s="31" t="inlineStr">
        <is>
          <t>Total Interest Expense</t>
        </is>
      </c>
      <c r="B17" s="20" t="n"/>
      <c r="C17" s="20">
        <f>C15+C16</f>
        <v/>
      </c>
      <c r="D17" s="20">
        <f>D15+D16</f>
        <v/>
      </c>
      <c r="E17" s="20">
        <f>E15+E16</f>
        <v/>
      </c>
      <c r="F17" s="20">
        <f>F15+F16</f>
        <v/>
      </c>
      <c r="G17" s="20">
        <f>G15+G16</f>
        <v/>
      </c>
    </row>
    <row r="19">
      <c r="A19" s="31" t="inlineStr">
        <is>
          <t>EBT (Earnings Before Tax)</t>
        </is>
      </c>
      <c r="C19" s="20">
        <f>MAX(0,C12-C17)</f>
        <v/>
      </c>
      <c r="D19" s="20">
        <f>MAX(0,D12-D17)</f>
        <v/>
      </c>
      <c r="E19" s="20">
        <f>MAX(0,E12-E17)</f>
        <v/>
      </c>
      <c r="F19" s="20">
        <f>MAX(0,F12-F17)</f>
        <v/>
      </c>
      <c r="G19" s="20">
        <f>MAX(0,G12-G17)</f>
        <v/>
      </c>
    </row>
    <row r="20">
      <c r="A20" s="33" t="inlineStr">
        <is>
          <t xml:space="preserve">  Less: Income Tax Expense</t>
        </is>
      </c>
      <c r="C20" s="20">
        <f>MAX(0,C19)*'Assumptions'!B34</f>
        <v/>
      </c>
      <c r="D20" s="20">
        <f>MAX(0,D19)*'Assumptions'!B34</f>
        <v/>
      </c>
      <c r="E20" s="20">
        <f>MAX(0,E19)*'Assumptions'!B34</f>
        <v/>
      </c>
      <c r="F20" s="20">
        <f>MAX(0,F19)*'Assumptions'!B34</f>
        <v/>
      </c>
      <c r="G20" s="20">
        <f>MAX(0,G19)*'Assumptions'!B34</f>
        <v/>
      </c>
    </row>
    <row r="21">
      <c r="A21" s="31" t="inlineStr">
        <is>
          <t>Net Income</t>
        </is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3">
      <c r="A23" s="5" t="inlineStr">
        <is>
          <t>FREE CASH FLOW</t>
        </is>
      </c>
    </row>
    <row r="24">
      <c r="A24" s="33" t="inlineStr">
        <is>
          <t>EBITDA</t>
        </is>
      </c>
      <c r="C24" s="20">
        <f>C8</f>
        <v/>
      </c>
      <c r="D24" s="20">
        <f>D8</f>
        <v/>
      </c>
      <c r="E24" s="20">
        <f>E8</f>
        <v/>
      </c>
      <c r="F24" s="20">
        <f>F8</f>
        <v/>
      </c>
      <c r="G24" s="20">
        <f>G8</f>
        <v/>
      </c>
    </row>
    <row r="25">
      <c r="A25" s="33" t="inlineStr">
        <is>
          <t xml:space="preserve">  Less: Cash Taxes</t>
        </is>
      </c>
      <c r="C25" s="20">
        <f>-MAX(0,C12-C17)*'Assumptions'!B34</f>
        <v/>
      </c>
      <c r="D25" s="20">
        <f>-MAX(0,D12-D17)*'Assumptions'!B34</f>
        <v/>
      </c>
      <c r="E25" s="20">
        <f>-MAX(0,E12-E17)*'Assumptions'!B34</f>
        <v/>
      </c>
      <c r="F25" s="20">
        <f>-MAX(0,F12-F17)*'Assumptions'!B34</f>
        <v/>
      </c>
      <c r="G25" s="20">
        <f>-MAX(0,G12-G17)*'Assumptions'!B34</f>
        <v/>
      </c>
    </row>
    <row r="26">
      <c r="A26" s="33" t="inlineStr">
        <is>
          <t xml:space="preserve">  Less: Capital Expenditures</t>
        </is>
      </c>
      <c r="C26" s="20">
        <f>-C5*'Assumptions'!C40</f>
        <v/>
      </c>
      <c r="D26" s="20">
        <f>-D5*'Assumptions'!D40</f>
        <v/>
      </c>
      <c r="E26" s="20">
        <f>-E5*'Assumptions'!E40</f>
        <v/>
      </c>
      <c r="F26" s="20">
        <f>-F5*'Assumptions'!F40</f>
        <v/>
      </c>
      <c r="G26" s="20">
        <f>-G5*'Assumptions'!G40</f>
        <v/>
      </c>
    </row>
    <row r="27">
      <c r="A27" s="33" t="inlineStr">
        <is>
          <t xml:space="preserve">  Less: Change in Net Working Capital</t>
        </is>
      </c>
      <c r="C27" s="20">
        <f>-(C5-B5)*'Assumptions'!C41</f>
        <v/>
      </c>
      <c r="D27" s="20">
        <f>-(D5-C5)*'Assumptions'!D41</f>
        <v/>
      </c>
      <c r="E27" s="20">
        <f>-(E5-D5)*'Assumptions'!E41</f>
        <v/>
      </c>
      <c r="F27" s="20">
        <f>-(F5-E5)*'Assumptions'!F41</f>
        <v/>
      </c>
      <c r="G27" s="20">
        <f>-(G5-F5)*'Assumptions'!G41</f>
        <v/>
      </c>
    </row>
    <row r="28">
      <c r="A28" s="31" t="inlineStr">
        <is>
          <t>Unlevered Free Cash Flow</t>
        </is>
      </c>
      <c r="C28" s="23">
        <f>C24+C25+C26+C27</f>
        <v/>
      </c>
      <c r="D28" s="23">
        <f>D24+D25+D26+D27</f>
        <v/>
      </c>
      <c r="E28" s="23">
        <f>E24+E25+E26+E27</f>
        <v/>
      </c>
      <c r="F28" s="23">
        <f>F24+F25+F26+F27</f>
        <v/>
      </c>
      <c r="G28" s="23">
        <f>G24+G25+G26+G27</f>
        <v/>
      </c>
    </row>
    <row r="30">
      <c r="A30" s="33" t="inlineStr">
        <is>
          <t xml:space="preserve">  Less: Total Interest Expense</t>
        </is>
      </c>
      <c r="C30" s="20">
        <f>-C17</f>
        <v/>
      </c>
      <c r="D30" s="20">
        <f>-D17</f>
        <v/>
      </c>
      <c r="E30" s="20">
        <f>-E17</f>
        <v/>
      </c>
      <c r="F30" s="20">
        <f>-F17</f>
        <v/>
      </c>
      <c r="G30" s="20">
        <f>-G17</f>
        <v/>
      </c>
    </row>
    <row r="31">
      <c r="A31" s="33" t="inlineStr">
        <is>
          <t xml:space="preserve">  Less: Mandatory TLB Amortization</t>
        </is>
      </c>
      <c r="C31" s="32">
        <f>'Debt Schedule'!C6</f>
        <v/>
      </c>
      <c r="D31" s="32">
        <f>'Debt Schedule'!D6</f>
        <v/>
      </c>
      <c r="E31" s="32">
        <f>'Debt Schedule'!E6</f>
        <v/>
      </c>
      <c r="F31" s="32">
        <f>'Debt Schedule'!F6</f>
        <v/>
      </c>
      <c r="G31" s="32">
        <f>'Debt Schedule'!G6</f>
        <v/>
      </c>
    </row>
    <row r="32">
      <c r="A32" s="31" t="inlineStr">
        <is>
          <t>Levered Free Cash Flow</t>
        </is>
      </c>
      <c r="C32" s="23">
        <f>C28+C30+C31</f>
        <v/>
      </c>
      <c r="D32" s="23">
        <f>D28+D30+D31</f>
        <v/>
      </c>
      <c r="E32" s="23">
        <f>E28+E30+E31</f>
        <v/>
      </c>
      <c r="F32" s="23">
        <f>F28+F30+F31</f>
        <v/>
      </c>
      <c r="G32" s="23">
        <f>G28+G30+G31</f>
        <v/>
      </c>
    </row>
    <row r="34" ht="12" customHeight="1">
      <c r="B34" s="15" t="inlineStr">
        <is>
          <t>Francisco Rodriguez  |  Financial Modeling Portfolio  |  github.com/Azyo1</t>
        </is>
      </c>
    </row>
  </sheetData>
  <mergeCells count="3">
    <mergeCell ref="B34:G34"/>
    <mergeCell ref="A23:G23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0" t="inlineStr">
        <is>
          <t>Dick's Sporting Goods — Debt Schedule</t>
        </is>
      </c>
    </row>
    <row r="3">
      <c r="A3" s="28" t="inlineStr"/>
      <c r="C3" s="28" t="inlineStr">
        <is>
          <t>Year 1</t>
        </is>
      </c>
      <c r="D3" s="28" t="inlineStr">
        <is>
          <t>Year 2</t>
        </is>
      </c>
      <c r="E3" s="28" t="inlineStr">
        <is>
          <t>Year 3</t>
        </is>
      </c>
      <c r="F3" s="28" t="inlineStr">
        <is>
          <t>Year 4</t>
        </is>
      </c>
      <c r="G3" s="28" t="inlineStr">
        <is>
          <t>Year 5</t>
        </is>
      </c>
    </row>
    <row r="4">
      <c r="A4" s="5" t="inlineStr">
        <is>
          <t>TERM LOAN B</t>
        </is>
      </c>
    </row>
    <row r="5">
      <c r="A5" s="33" t="inlineStr">
        <is>
          <t xml:space="preserve">  Beginning Balance</t>
        </is>
      </c>
      <c r="C5" s="32">
        <f>'Assumptions'!B17</f>
        <v/>
      </c>
      <c r="D5" s="20">
        <f>C8</f>
        <v/>
      </c>
      <c r="E5" s="20">
        <f>D8</f>
        <v/>
      </c>
      <c r="F5" s="20">
        <f>E8</f>
        <v/>
      </c>
      <c r="G5" s="20">
        <f>F8</f>
        <v/>
      </c>
    </row>
    <row r="6">
      <c r="A6" s="33" t="inlineStr">
        <is>
          <t xml:space="preserve">  Less: Mandatory Amortization</t>
        </is>
      </c>
      <c r="C6" s="20">
        <f>-MIN('Assumptions'!B17*'Assumptions'!B30,C5)</f>
        <v/>
      </c>
      <c r="D6" s="20">
        <f>-MIN('Assumptions'!B17*'Assumptions'!B30,D5)</f>
        <v/>
      </c>
      <c r="E6" s="20">
        <f>-MIN('Assumptions'!B17*'Assumptions'!B30,E5)</f>
        <v/>
      </c>
      <c r="F6" s="20">
        <f>-MIN('Assumptions'!B17*'Assumptions'!B30,F5)</f>
        <v/>
      </c>
      <c r="G6" s="20">
        <f>-MIN('Assumptions'!B17*'Assumptions'!B30,G5)</f>
        <v/>
      </c>
    </row>
    <row r="7">
      <c r="A7" s="33" t="inlineStr">
        <is>
          <t xml:space="preserve">  Less: Cash Sweep</t>
        </is>
      </c>
      <c r="C7" s="20">
        <f>-MIN(MAX(0,'Operating Model'!C32),C5+C6)</f>
        <v/>
      </c>
      <c r="D7" s="20">
        <f>-MIN(MAX(0,'Operating Model'!D32),D5+D6)</f>
        <v/>
      </c>
      <c r="E7" s="20">
        <f>-MIN(MAX(0,'Operating Model'!E32),E5+E6)</f>
        <v/>
      </c>
      <c r="F7" s="20">
        <f>-MIN(MAX(0,'Operating Model'!F32),F5+F6)</f>
        <v/>
      </c>
      <c r="G7" s="20">
        <f>-MIN(MAX(0,'Operating Model'!G32),G5+G6)</f>
        <v/>
      </c>
    </row>
    <row r="8">
      <c r="A8" s="31" t="inlineStr">
        <is>
          <t xml:space="preserve">  Ending Balance</t>
        </is>
      </c>
      <c r="C8" s="23">
        <f>C5+C6+C7</f>
        <v/>
      </c>
      <c r="D8" s="23">
        <f>D5+D6+D7</f>
        <v/>
      </c>
      <c r="E8" s="23">
        <f>E5+E6+E7</f>
        <v/>
      </c>
      <c r="F8" s="23">
        <f>F5+F6+F7</f>
        <v/>
      </c>
      <c r="G8" s="23">
        <f>G5+G6+G7</f>
        <v/>
      </c>
    </row>
    <row r="9">
      <c r="A9" s="33" t="inlineStr">
        <is>
          <t xml:space="preserve">  Interest Rate</t>
        </is>
      </c>
      <c r="C9" s="35">
        <f>'Assumptions'!B29</f>
        <v/>
      </c>
      <c r="D9" s="35">
        <f>'Assumptions'!B29</f>
        <v/>
      </c>
      <c r="E9" s="35">
        <f>'Assumptions'!B29</f>
        <v/>
      </c>
      <c r="F9" s="35">
        <f>'Assumptions'!B29</f>
        <v/>
      </c>
      <c r="G9" s="35">
        <f>'Assumptions'!B29</f>
        <v/>
      </c>
    </row>
    <row r="10">
      <c r="A10" s="31" t="inlineStr">
        <is>
          <t xml:space="preserve">  Interest Expense — TLB</t>
        </is>
      </c>
      <c r="C10" s="23">
        <f>C5*C9</f>
        <v/>
      </c>
      <c r="D10" s="23">
        <f>D5*D9</f>
        <v/>
      </c>
      <c r="E10" s="23">
        <f>E5*E9</f>
        <v/>
      </c>
      <c r="F10" s="23">
        <f>F5*F9</f>
        <v/>
      </c>
      <c r="G10" s="23">
        <f>G5*G9</f>
        <v/>
      </c>
    </row>
    <row r="12">
      <c r="A12" s="5" t="inlineStr">
        <is>
          <t>REVOLVING CREDIT FACILITY</t>
        </is>
      </c>
    </row>
    <row r="13">
      <c r="A13" s="33" t="inlineStr">
        <is>
          <t xml:space="preserve">  Beginning Balance</t>
        </is>
      </c>
      <c r="C13" s="20">
        <f>0</f>
        <v/>
      </c>
      <c r="D13" s="20">
        <f>0</f>
        <v/>
      </c>
      <c r="E13" s="20">
        <f>0</f>
        <v/>
      </c>
      <c r="F13" s="20">
        <f>0</f>
        <v/>
      </c>
      <c r="G13" s="20">
        <f>0</f>
        <v/>
      </c>
    </row>
    <row r="14">
      <c r="A14" s="33" t="inlineStr">
        <is>
          <t xml:space="preserve">  Draw / (Repayment)</t>
        </is>
      </c>
      <c r="C14" s="20">
        <f>0</f>
        <v/>
      </c>
      <c r="D14" s="20">
        <f>0</f>
        <v/>
      </c>
      <c r="E14" s="20">
        <f>0</f>
        <v/>
      </c>
      <c r="F14" s="20">
        <f>0</f>
        <v/>
      </c>
      <c r="G14" s="20">
        <f>0</f>
        <v/>
      </c>
    </row>
    <row r="15">
      <c r="A15" s="31" t="inlineStr">
        <is>
          <t xml:space="preserve">  Ending Balance</t>
        </is>
      </c>
      <c r="C15" s="23">
        <f>C13+C14</f>
        <v/>
      </c>
      <c r="D15" s="23">
        <f>D13+D14</f>
        <v/>
      </c>
      <c r="E15" s="23">
        <f>E13+E14</f>
        <v/>
      </c>
      <c r="F15" s="23">
        <f>F13+F14</f>
        <v/>
      </c>
      <c r="G15" s="23">
        <f>G13+G14</f>
        <v/>
      </c>
    </row>
    <row r="16">
      <c r="A16" s="33" t="inlineStr">
        <is>
          <t xml:space="preserve">  Interest Rate (All-In)</t>
        </is>
      </c>
      <c r="C16" s="35">
        <f>'Assumptions'!B32</f>
        <v/>
      </c>
      <c r="D16" s="35">
        <f>'Assumptions'!B32</f>
        <v/>
      </c>
      <c r="E16" s="35">
        <f>'Assumptions'!B32</f>
        <v/>
      </c>
      <c r="F16" s="35">
        <f>'Assumptions'!B32</f>
        <v/>
      </c>
      <c r="G16" s="35">
        <f>'Assumptions'!B32</f>
        <v/>
      </c>
    </row>
    <row r="17">
      <c r="A17" s="31" t="inlineStr">
        <is>
          <t xml:space="preserve">  Interest Expense — Revolver (Commitment Fee)</t>
        </is>
      </c>
      <c r="C17" s="23">
        <f>'Assumptions'!B18*'Assumptions'!B33</f>
        <v/>
      </c>
      <c r="D17" s="23">
        <f>'Assumptions'!B18*'Assumptions'!B33</f>
        <v/>
      </c>
      <c r="E17" s="23">
        <f>'Assumptions'!B18*'Assumptions'!B33</f>
        <v/>
      </c>
      <c r="F17" s="23">
        <f>'Assumptions'!B18*'Assumptions'!B33</f>
        <v/>
      </c>
      <c r="G17" s="23">
        <f>'Assumptions'!B18*'Assumptions'!B33</f>
        <v/>
      </c>
    </row>
    <row r="19">
      <c r="A19" s="5" t="inlineStr">
        <is>
          <t>TOTAL DEBT SUMMARY</t>
        </is>
      </c>
    </row>
    <row r="20">
      <c r="A20" s="33" t="inlineStr">
        <is>
          <t xml:space="preserve">  Total Debt — Beginning</t>
        </is>
      </c>
      <c r="C20" s="20">
        <f>C5+C13</f>
        <v/>
      </c>
      <c r="D20" s="20">
        <f>D5+D13</f>
        <v/>
      </c>
      <c r="E20" s="20">
        <f>E5+E13</f>
        <v/>
      </c>
      <c r="F20" s="20">
        <f>F5+F13</f>
        <v/>
      </c>
      <c r="G20" s="20">
        <f>G5+G13</f>
        <v/>
      </c>
    </row>
    <row r="21">
      <c r="A21" s="31" t="inlineStr">
        <is>
          <t xml:space="preserve">  Total Debt — Ending</t>
        </is>
      </c>
      <c r="C21" s="23">
        <f>C8+C15</f>
        <v/>
      </c>
      <c r="D21" s="23">
        <f>D8+D15</f>
        <v/>
      </c>
      <c r="E21" s="23">
        <f>E8+E15</f>
        <v/>
      </c>
      <c r="F21" s="23">
        <f>F8+F15</f>
        <v/>
      </c>
      <c r="G21" s="23">
        <f>G8+G15</f>
        <v/>
      </c>
    </row>
    <row r="22">
      <c r="A22" s="31" t="inlineStr">
        <is>
          <t xml:space="preserve">  Net Debt (Total Debt − Cash)</t>
        </is>
      </c>
      <c r="C22" s="23">
        <f>C21-C28</f>
        <v/>
      </c>
      <c r="D22" s="23">
        <f>D21-D28</f>
        <v/>
      </c>
      <c r="E22" s="23">
        <f>E21-E28</f>
        <v/>
      </c>
      <c r="F22" s="23">
        <f>F21-F28</f>
        <v/>
      </c>
      <c r="G22" s="23">
        <f>G21-G28</f>
        <v/>
      </c>
    </row>
    <row r="23">
      <c r="A23" s="33" t="inlineStr">
        <is>
          <t xml:space="preserve">  Leverage at Exit (x EBITDA)</t>
        </is>
      </c>
      <c r="C23" s="24">
        <f>C21/'Operating Model'!C8</f>
        <v/>
      </c>
      <c r="D23" s="24">
        <f>D21/'Operating Model'!D8</f>
        <v/>
      </c>
      <c r="E23" s="24">
        <f>E21/'Operating Model'!E8</f>
        <v/>
      </c>
      <c r="F23" s="24">
        <f>F21/'Operating Model'!F8</f>
        <v/>
      </c>
      <c r="G23" s="24">
        <f>G21/'Operating Model'!G8</f>
        <v/>
      </c>
    </row>
    <row r="25">
      <c r="A25" s="5" t="inlineStr">
        <is>
          <t>CASH  (excess levered FCF once TLB is repaid)</t>
        </is>
      </c>
    </row>
    <row r="26">
      <c r="A26" s="33" t="inlineStr">
        <is>
          <t xml:space="preserve">  Beginning Cash</t>
        </is>
      </c>
      <c r="C26" s="20">
        <f>0</f>
        <v/>
      </c>
      <c r="D26" s="20">
        <f>C28</f>
        <v/>
      </c>
      <c r="E26" s="20">
        <f>D28</f>
        <v/>
      </c>
      <c r="F26" s="20">
        <f>E28</f>
        <v/>
      </c>
      <c r="G26" s="20">
        <f>F28</f>
        <v/>
      </c>
    </row>
    <row r="27">
      <c r="A27" s="33" t="inlineStr">
        <is>
          <t xml:space="preserve">  Plus: Levered FCF not used for debt paydown</t>
        </is>
      </c>
      <c r="C27" s="20">
        <f>MAX(0,'Operating Model'!C32)+C7</f>
        <v/>
      </c>
      <c r="D27" s="20">
        <f>MAX(0,'Operating Model'!D32)+D7</f>
        <v/>
      </c>
      <c r="E27" s="20">
        <f>MAX(0,'Operating Model'!E32)+E7</f>
        <v/>
      </c>
      <c r="F27" s="20">
        <f>MAX(0,'Operating Model'!F32)+F7</f>
        <v/>
      </c>
      <c r="G27" s="20">
        <f>MAX(0,'Operating Model'!G32)+G7</f>
        <v/>
      </c>
    </row>
    <row r="28">
      <c r="A28" s="31" t="inlineStr">
        <is>
          <t xml:space="preserve">  Ending Cash</t>
        </is>
      </c>
      <c r="C28" s="23">
        <f>C26+C27</f>
        <v/>
      </c>
      <c r="D28" s="23">
        <f>D26+D27</f>
        <v/>
      </c>
      <c r="E28" s="23">
        <f>E26+E27</f>
        <v/>
      </c>
      <c r="F28" s="23">
        <f>F26+F27</f>
        <v/>
      </c>
      <c r="G28" s="23">
        <f>G26+G27</f>
        <v/>
      </c>
    </row>
    <row r="30" ht="12" customHeight="1">
      <c r="B30" s="15" t="inlineStr">
        <is>
          <t>Francisco Rodriguez  |  Financial Modeling Portfolio  |  github.com/Azyo1</t>
        </is>
      </c>
    </row>
  </sheetData>
  <mergeCells count="5">
    <mergeCell ref="A12:G12"/>
    <mergeCell ref="A4:G4"/>
    <mergeCell ref="A25:G25"/>
    <mergeCell ref="B30:G30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30" t="inlineStr">
        <is>
          <t>Dick's Sporting Goods — Returns Analysis</t>
        </is>
      </c>
    </row>
    <row r="3">
      <c r="A3" s="5" t="inlineStr">
        <is>
          <t>EXIT VALUATION</t>
        </is>
      </c>
    </row>
    <row r="4">
      <c r="A4" s="16" t="inlineStr">
        <is>
          <t>Exit Year EBITDA ($M)</t>
        </is>
      </c>
      <c r="B4" s="32">
        <f>'Operating Model'!G8</f>
        <v/>
      </c>
    </row>
    <row r="5">
      <c r="A5" s="16" t="inlineStr">
        <is>
          <t>Exit EV / EBITDA Multiple</t>
        </is>
      </c>
      <c r="B5" s="36">
        <f>'Assumptions'!B45</f>
        <v/>
      </c>
    </row>
    <row r="6">
      <c r="A6" s="16" t="inlineStr">
        <is>
          <t>Exit Enterprise Value ($M)</t>
        </is>
      </c>
      <c r="B6" s="20">
        <f>B4*B5</f>
        <v/>
      </c>
    </row>
    <row r="7">
      <c r="A7" s="16" t="inlineStr">
        <is>
          <t>Less: Net Debt at Exit ($M)</t>
        </is>
      </c>
      <c r="B7" s="32">
        <f>'Debt Schedule'!G22</f>
        <v/>
      </c>
    </row>
    <row r="8">
      <c r="A8" s="16" t="inlineStr">
        <is>
          <t>Less: Exit Transaction Fees ($M)</t>
        </is>
      </c>
      <c r="B8" s="20">
        <f>B6*'Assumptions'!B46</f>
        <v/>
      </c>
    </row>
    <row r="9">
      <c r="A9" s="22" t="inlineStr">
        <is>
          <t>Equity Value to Sponsor ($M)</t>
        </is>
      </c>
      <c r="B9" s="23">
        <f>B6-B7-B8</f>
        <v/>
      </c>
    </row>
    <row r="11">
      <c r="A11" s="5" t="inlineStr">
        <is>
          <t>RETURNS ANALYSIS</t>
        </is>
      </c>
    </row>
    <row r="12">
      <c r="A12" s="16" t="inlineStr">
        <is>
          <t>Initial Equity Investment ($M)</t>
        </is>
      </c>
      <c r="B12" s="32">
        <f>'Assumptions'!B21</f>
        <v/>
      </c>
    </row>
    <row r="13">
      <c r="A13" s="16" t="inlineStr">
        <is>
          <t>Equity Proceeds ($M)</t>
        </is>
      </c>
      <c r="B13" s="20">
        <f>B9</f>
        <v/>
      </c>
    </row>
    <row r="15">
      <c r="A15" s="22" t="inlineStr">
        <is>
          <t>Multiple of Invested Capital (MOIC)</t>
        </is>
      </c>
      <c r="B15" s="37">
        <f>B13/B12</f>
        <v/>
      </c>
    </row>
    <row r="16">
      <c r="A16" s="16" t="inlineStr">
        <is>
          <t>Hold Period (Years)</t>
        </is>
      </c>
      <c r="B16" s="38">
        <f>'Assumptions'!B44</f>
        <v/>
      </c>
    </row>
    <row r="17">
      <c r="A17" s="22" t="inlineStr">
        <is>
          <t>IRR (Approximate)</t>
        </is>
      </c>
      <c r="B17" s="39">
        <f>(B13/B12)^(1/B16)-1</f>
        <v/>
      </c>
    </row>
    <row r="18">
      <c r="A18" s="16" t="inlineStr">
        <is>
          <t>Cash-on-Cash Return (MOIC)</t>
        </is>
      </c>
      <c r="B18" s="24">
        <f>B15</f>
        <v/>
      </c>
    </row>
    <row r="20" ht="12" customHeight="1">
      <c r="B20" s="15" t="inlineStr">
        <is>
          <t>Francisco Rodriguez  |  Financial Modeling Portfolio  |  github.com/Azyo1</t>
        </is>
      </c>
    </row>
  </sheetData>
  <mergeCells count="3">
    <mergeCell ref="B20:C20"/>
    <mergeCell ref="A3:B3"/>
    <mergeCell ref="A11:B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0" t="inlineStr">
        <is>
          <t>Dick's Sporting Goods — Sensitivity Analysis</t>
        </is>
      </c>
    </row>
    <row r="3">
      <c r="A3" s="5" t="inlineStr">
        <is>
          <t>TABLE 1: IRR SENSITIVITY — Entry Multiple vs. Exit Multiple</t>
        </is>
      </c>
    </row>
    <row r="4">
      <c r="A4" s="28" t="inlineStr">
        <is>
          <t>Entry \ Exit</t>
        </is>
      </c>
      <c r="B4" s="40">
        <f>'Assumptions'!$B$45+(-2)*'Assumptions'!$B$47</f>
        <v/>
      </c>
      <c r="C4" s="40">
        <f>'Assumptions'!$B$45+(-1)*'Assumptions'!$B$47</f>
        <v/>
      </c>
      <c r="D4" s="40">
        <f>'Assumptions'!$B$45+(0)*'Assumptions'!$B$47</f>
        <v/>
      </c>
      <c r="E4" s="40">
        <f>'Assumptions'!$B$45+(1)*'Assumptions'!$B$47</f>
        <v/>
      </c>
      <c r="F4" s="40">
        <f>'Assumptions'!$B$45+(2)*'Assumptions'!$B$47</f>
        <v/>
      </c>
    </row>
    <row r="5">
      <c r="A5" s="40">
        <f>'Assumptions'!$B$7+(-2)*'Assumptions'!$B$47</f>
        <v/>
      </c>
      <c r="B5" s="41">
        <f>IFERROR(((B$4*'Operating Model'!$G$8*(1-'Assumptions'!$B$46)-'Debt Schedule'!$G$22)/($A5*'Assumptions'!$B$5*(1+'Assumptions'!$B$11)-'Assumptions'!$B$20))^(1/'Assumptions'!B44)-1,"N/A")</f>
        <v/>
      </c>
      <c r="C5" s="41">
        <f>IFERROR(((C$4*'Operating Model'!$G$8*(1-'Assumptions'!$B$46)-'Debt Schedule'!$G$22)/($A5*'Assumptions'!$B$5*(1+'Assumptions'!$B$11)-'Assumptions'!$B$20))^(1/'Assumptions'!B44)-1,"N/A")</f>
        <v/>
      </c>
      <c r="D5" s="41">
        <f>IFERROR(((D$4*'Operating Model'!$G$8*(1-'Assumptions'!$B$46)-'Debt Schedule'!$G$22)/($A5*'Assumptions'!$B$5*(1+'Assumptions'!$B$11)-'Assumptions'!$B$20))^(1/'Assumptions'!B44)-1,"N/A")</f>
        <v/>
      </c>
      <c r="E5" s="41">
        <f>IFERROR(((E$4*'Operating Model'!$G$8*(1-'Assumptions'!$B$46)-'Debt Schedule'!$G$22)/($A5*'Assumptions'!$B$5*(1+'Assumptions'!$B$11)-'Assumptions'!$B$20))^(1/'Assumptions'!B44)-1,"N/A")</f>
        <v/>
      </c>
      <c r="F5" s="41">
        <f>IFERROR(((F$4*'Operating Model'!$G$8*(1-'Assumptions'!$B$46)-'Debt Schedule'!$G$22)/($A5*'Assumptions'!$B$5*(1+'Assumptions'!$B$11)-'Assumptions'!$B$20))^(1/'Assumptions'!B44)-1,"N/A")</f>
        <v/>
      </c>
    </row>
    <row r="6">
      <c r="A6" s="40">
        <f>'Assumptions'!$B$7+(-1)*'Assumptions'!$B$47</f>
        <v/>
      </c>
      <c r="B6" s="41">
        <f>IFERROR(((B$4*'Operating Model'!$G$8*(1-'Assumptions'!$B$46)-'Debt Schedule'!$G$22)/($A6*'Assumptions'!$B$5*(1+'Assumptions'!$B$11)-'Assumptions'!$B$20))^(1/'Assumptions'!B44)-1,"N/A")</f>
        <v/>
      </c>
      <c r="C6" s="41">
        <f>IFERROR(((C$4*'Operating Model'!$G$8*(1-'Assumptions'!$B$46)-'Debt Schedule'!$G$22)/($A6*'Assumptions'!$B$5*(1+'Assumptions'!$B$11)-'Assumptions'!$B$20))^(1/'Assumptions'!B44)-1,"N/A")</f>
        <v/>
      </c>
      <c r="D6" s="41">
        <f>IFERROR(((D$4*'Operating Model'!$G$8*(1-'Assumptions'!$B$46)-'Debt Schedule'!$G$22)/($A6*'Assumptions'!$B$5*(1+'Assumptions'!$B$11)-'Assumptions'!$B$20))^(1/'Assumptions'!B44)-1,"N/A")</f>
        <v/>
      </c>
      <c r="E6" s="41">
        <f>IFERROR(((E$4*'Operating Model'!$G$8*(1-'Assumptions'!$B$46)-'Debt Schedule'!$G$22)/($A6*'Assumptions'!$B$5*(1+'Assumptions'!$B$11)-'Assumptions'!$B$20))^(1/'Assumptions'!B44)-1,"N/A")</f>
        <v/>
      </c>
      <c r="F6" s="41">
        <f>IFERROR(((F$4*'Operating Model'!$G$8*(1-'Assumptions'!$B$46)-'Debt Schedule'!$G$22)/($A6*'Assumptions'!$B$5*(1+'Assumptions'!$B$11)-'Assumptions'!$B$20))^(1/'Assumptions'!B44)-1,"N/A")</f>
        <v/>
      </c>
    </row>
    <row r="7">
      <c r="A7" s="40">
        <f>'Assumptions'!$B$7+(0)*'Assumptions'!$B$47</f>
        <v/>
      </c>
      <c r="B7" s="41">
        <f>IFERROR(((B$4*'Operating Model'!$G$8*(1-'Assumptions'!$B$46)-'Debt Schedule'!$G$22)/($A7*'Assumptions'!$B$5*(1+'Assumptions'!$B$11)-'Assumptions'!$B$20))^(1/'Assumptions'!B44)-1,"N/A")</f>
        <v/>
      </c>
      <c r="C7" s="41">
        <f>IFERROR(((C$4*'Operating Model'!$G$8*(1-'Assumptions'!$B$46)-'Debt Schedule'!$G$22)/($A7*'Assumptions'!$B$5*(1+'Assumptions'!$B$11)-'Assumptions'!$B$20))^(1/'Assumptions'!B44)-1,"N/A")</f>
        <v/>
      </c>
      <c r="D7" s="42">
        <f>IFERROR(((D$4*'Operating Model'!$G$8*(1-'Assumptions'!$B$46)-'Debt Schedule'!$G$22)/($A7*'Assumptions'!$B$5*(1+'Assumptions'!$B$11)-'Assumptions'!$B$20))^(1/'Assumptions'!B44)-1,"N/A")</f>
        <v/>
      </c>
      <c r="E7" s="41">
        <f>IFERROR(((E$4*'Operating Model'!$G$8*(1-'Assumptions'!$B$46)-'Debt Schedule'!$G$22)/($A7*'Assumptions'!$B$5*(1+'Assumptions'!$B$11)-'Assumptions'!$B$20))^(1/'Assumptions'!B44)-1,"N/A")</f>
        <v/>
      </c>
      <c r="F7" s="41">
        <f>IFERROR(((F$4*'Operating Model'!$G$8*(1-'Assumptions'!$B$46)-'Debt Schedule'!$G$22)/($A7*'Assumptions'!$B$5*(1+'Assumptions'!$B$11)-'Assumptions'!$B$20))^(1/'Assumptions'!B44)-1,"N/A")</f>
        <v/>
      </c>
    </row>
    <row r="8">
      <c r="A8" s="40">
        <f>'Assumptions'!$B$7+(1)*'Assumptions'!$B$47</f>
        <v/>
      </c>
      <c r="B8" s="41">
        <f>IFERROR(((B$4*'Operating Model'!$G$8*(1-'Assumptions'!$B$46)-'Debt Schedule'!$G$22)/($A8*'Assumptions'!$B$5*(1+'Assumptions'!$B$11)-'Assumptions'!$B$20))^(1/'Assumptions'!B44)-1,"N/A")</f>
        <v/>
      </c>
      <c r="C8" s="41">
        <f>IFERROR(((C$4*'Operating Model'!$G$8*(1-'Assumptions'!$B$46)-'Debt Schedule'!$G$22)/($A8*'Assumptions'!$B$5*(1+'Assumptions'!$B$11)-'Assumptions'!$B$20))^(1/'Assumptions'!B44)-1,"N/A")</f>
        <v/>
      </c>
      <c r="D8" s="41">
        <f>IFERROR(((D$4*'Operating Model'!$G$8*(1-'Assumptions'!$B$46)-'Debt Schedule'!$G$22)/($A8*'Assumptions'!$B$5*(1+'Assumptions'!$B$11)-'Assumptions'!$B$20))^(1/'Assumptions'!B44)-1,"N/A")</f>
        <v/>
      </c>
      <c r="E8" s="41">
        <f>IFERROR(((E$4*'Operating Model'!$G$8*(1-'Assumptions'!$B$46)-'Debt Schedule'!$G$22)/($A8*'Assumptions'!$B$5*(1+'Assumptions'!$B$11)-'Assumptions'!$B$20))^(1/'Assumptions'!B44)-1,"N/A")</f>
        <v/>
      </c>
      <c r="F8" s="41">
        <f>IFERROR(((F$4*'Operating Model'!$G$8*(1-'Assumptions'!$B$46)-'Debt Schedule'!$G$22)/($A8*'Assumptions'!$B$5*(1+'Assumptions'!$B$11)-'Assumptions'!$B$20))^(1/'Assumptions'!B44)-1,"N/A")</f>
        <v/>
      </c>
    </row>
    <row r="9">
      <c r="A9" s="40">
        <f>'Assumptions'!$B$7+(2)*'Assumptions'!$B$47</f>
        <v/>
      </c>
      <c r="B9" s="41">
        <f>IFERROR(((B$4*'Operating Model'!$G$8*(1-'Assumptions'!$B$46)-'Debt Schedule'!$G$22)/($A9*'Assumptions'!$B$5*(1+'Assumptions'!$B$11)-'Assumptions'!$B$20))^(1/'Assumptions'!B44)-1,"N/A")</f>
        <v/>
      </c>
      <c r="C9" s="41">
        <f>IFERROR(((C$4*'Operating Model'!$G$8*(1-'Assumptions'!$B$46)-'Debt Schedule'!$G$22)/($A9*'Assumptions'!$B$5*(1+'Assumptions'!$B$11)-'Assumptions'!$B$20))^(1/'Assumptions'!B44)-1,"N/A")</f>
        <v/>
      </c>
      <c r="D9" s="41">
        <f>IFERROR(((D$4*'Operating Model'!$G$8*(1-'Assumptions'!$B$46)-'Debt Schedule'!$G$22)/($A9*'Assumptions'!$B$5*(1+'Assumptions'!$B$11)-'Assumptions'!$B$20))^(1/'Assumptions'!B44)-1,"N/A")</f>
        <v/>
      </c>
      <c r="E9" s="41">
        <f>IFERROR(((E$4*'Operating Model'!$G$8*(1-'Assumptions'!$B$46)-'Debt Schedule'!$G$22)/($A9*'Assumptions'!$B$5*(1+'Assumptions'!$B$11)-'Assumptions'!$B$20))^(1/'Assumptions'!B44)-1,"N/A")</f>
        <v/>
      </c>
      <c r="F9" s="41">
        <f>IFERROR(((F$4*'Operating Model'!$G$8*(1-'Assumptions'!$B$46)-'Debt Schedule'!$G$22)/($A9*'Assumptions'!$B$5*(1+'Assumptions'!$B$11)-'Assumptions'!$B$20))^(1/'Assumptions'!B44)-1,"N/A")</f>
        <v/>
      </c>
    </row>
    <row r="11">
      <c r="A11" s="43" t="inlineStr">
        <is>
          <t>Rows = Entry EV/EBITDA | Columns = Exit EV/EBITDA | Boxed centre = base case (must equal Returns tab)</t>
        </is>
      </c>
    </row>
    <row r="13">
      <c r="A13" s="5" t="inlineStr">
        <is>
          <t>TABLE 2: MOIC SENSITIVITY — Entry Multiple vs. Exit Multiple</t>
        </is>
      </c>
    </row>
    <row r="14">
      <c r="A14" s="28" t="inlineStr">
        <is>
          <t>Entry \ Exit</t>
        </is>
      </c>
      <c r="B14" s="40">
        <f>'Assumptions'!$B$45+(-2)*'Assumptions'!$B$47</f>
        <v/>
      </c>
      <c r="C14" s="40">
        <f>'Assumptions'!$B$45+(-1)*'Assumptions'!$B$47</f>
        <v/>
      </c>
      <c r="D14" s="40">
        <f>'Assumptions'!$B$45+(0)*'Assumptions'!$B$47</f>
        <v/>
      </c>
      <c r="E14" s="40">
        <f>'Assumptions'!$B$45+(1)*'Assumptions'!$B$47</f>
        <v/>
      </c>
      <c r="F14" s="40">
        <f>'Assumptions'!$B$45+(2)*'Assumptions'!$B$47</f>
        <v/>
      </c>
    </row>
    <row r="15">
      <c r="A15" s="40">
        <f>'Assumptions'!$B$7+(-2)*'Assumptions'!$B$47</f>
        <v/>
      </c>
      <c r="B15" s="44">
        <f>IFERROR((B$14*'Operating Model'!$G$8*(1-'Assumptions'!$B$46)-'Debt Schedule'!$G$22)/($A15*'Assumptions'!$B$5*(1+'Assumptions'!$B$11)-'Assumptions'!$B$20),"N/A")</f>
        <v/>
      </c>
      <c r="C15" s="44">
        <f>IFERROR((C$14*'Operating Model'!$G$8*(1-'Assumptions'!$B$46)-'Debt Schedule'!$G$22)/($A15*'Assumptions'!$B$5*(1+'Assumptions'!$B$11)-'Assumptions'!$B$20),"N/A")</f>
        <v/>
      </c>
      <c r="D15" s="44">
        <f>IFERROR((D$14*'Operating Model'!$G$8*(1-'Assumptions'!$B$46)-'Debt Schedule'!$G$22)/($A15*'Assumptions'!$B$5*(1+'Assumptions'!$B$11)-'Assumptions'!$B$20),"N/A")</f>
        <v/>
      </c>
      <c r="E15" s="44">
        <f>IFERROR((E$14*'Operating Model'!$G$8*(1-'Assumptions'!$B$46)-'Debt Schedule'!$G$22)/($A15*'Assumptions'!$B$5*(1+'Assumptions'!$B$11)-'Assumptions'!$B$20),"N/A")</f>
        <v/>
      </c>
      <c r="F15" s="44">
        <f>IFERROR((F$14*'Operating Model'!$G$8*(1-'Assumptions'!$B$46)-'Debt Schedule'!$G$22)/($A15*'Assumptions'!$B$5*(1+'Assumptions'!$B$11)-'Assumptions'!$B$20),"N/A")</f>
        <v/>
      </c>
    </row>
    <row r="16">
      <c r="A16" s="40">
        <f>'Assumptions'!$B$7+(-1)*'Assumptions'!$B$47</f>
        <v/>
      </c>
      <c r="B16" s="44">
        <f>IFERROR((B$14*'Operating Model'!$G$8*(1-'Assumptions'!$B$46)-'Debt Schedule'!$G$22)/($A16*'Assumptions'!$B$5*(1+'Assumptions'!$B$11)-'Assumptions'!$B$20),"N/A")</f>
        <v/>
      </c>
      <c r="C16" s="44">
        <f>IFERROR((C$14*'Operating Model'!$G$8*(1-'Assumptions'!$B$46)-'Debt Schedule'!$G$22)/($A16*'Assumptions'!$B$5*(1+'Assumptions'!$B$11)-'Assumptions'!$B$20),"N/A")</f>
        <v/>
      </c>
      <c r="D16" s="44">
        <f>IFERROR((D$14*'Operating Model'!$G$8*(1-'Assumptions'!$B$46)-'Debt Schedule'!$G$22)/($A16*'Assumptions'!$B$5*(1+'Assumptions'!$B$11)-'Assumptions'!$B$20),"N/A")</f>
        <v/>
      </c>
      <c r="E16" s="44">
        <f>IFERROR((E$14*'Operating Model'!$G$8*(1-'Assumptions'!$B$46)-'Debt Schedule'!$G$22)/($A16*'Assumptions'!$B$5*(1+'Assumptions'!$B$11)-'Assumptions'!$B$20),"N/A")</f>
        <v/>
      </c>
      <c r="F16" s="44">
        <f>IFERROR((F$14*'Operating Model'!$G$8*(1-'Assumptions'!$B$46)-'Debt Schedule'!$G$22)/($A16*'Assumptions'!$B$5*(1+'Assumptions'!$B$11)-'Assumptions'!$B$20),"N/A")</f>
        <v/>
      </c>
    </row>
    <row r="17">
      <c r="A17" s="40">
        <f>'Assumptions'!$B$7+(0)*'Assumptions'!$B$47</f>
        <v/>
      </c>
      <c r="B17" s="44">
        <f>IFERROR((B$14*'Operating Model'!$G$8*(1-'Assumptions'!$B$46)-'Debt Schedule'!$G$22)/($A17*'Assumptions'!$B$5*(1+'Assumptions'!$B$11)-'Assumptions'!$B$20),"N/A")</f>
        <v/>
      </c>
      <c r="C17" s="44">
        <f>IFERROR((C$14*'Operating Model'!$G$8*(1-'Assumptions'!$B$46)-'Debt Schedule'!$G$22)/($A17*'Assumptions'!$B$5*(1+'Assumptions'!$B$11)-'Assumptions'!$B$20),"N/A")</f>
        <v/>
      </c>
      <c r="D17" s="45">
        <f>IFERROR((D$14*'Operating Model'!$G$8*(1-'Assumptions'!$B$46)-'Debt Schedule'!$G$22)/($A17*'Assumptions'!$B$5*(1+'Assumptions'!$B$11)-'Assumptions'!$B$20),"N/A")</f>
        <v/>
      </c>
      <c r="E17" s="44">
        <f>IFERROR((E$14*'Operating Model'!$G$8*(1-'Assumptions'!$B$46)-'Debt Schedule'!$G$22)/($A17*'Assumptions'!$B$5*(1+'Assumptions'!$B$11)-'Assumptions'!$B$20),"N/A")</f>
        <v/>
      </c>
      <c r="F17" s="44">
        <f>IFERROR((F$14*'Operating Model'!$G$8*(1-'Assumptions'!$B$46)-'Debt Schedule'!$G$22)/($A17*'Assumptions'!$B$5*(1+'Assumptions'!$B$11)-'Assumptions'!$B$20),"N/A")</f>
        <v/>
      </c>
    </row>
    <row r="18">
      <c r="A18" s="40">
        <f>'Assumptions'!$B$7+(1)*'Assumptions'!$B$47</f>
        <v/>
      </c>
      <c r="B18" s="44">
        <f>IFERROR((B$14*'Operating Model'!$G$8*(1-'Assumptions'!$B$46)-'Debt Schedule'!$G$22)/($A18*'Assumptions'!$B$5*(1+'Assumptions'!$B$11)-'Assumptions'!$B$20),"N/A")</f>
        <v/>
      </c>
      <c r="C18" s="44">
        <f>IFERROR((C$14*'Operating Model'!$G$8*(1-'Assumptions'!$B$46)-'Debt Schedule'!$G$22)/($A18*'Assumptions'!$B$5*(1+'Assumptions'!$B$11)-'Assumptions'!$B$20),"N/A")</f>
        <v/>
      </c>
      <c r="D18" s="44">
        <f>IFERROR((D$14*'Operating Model'!$G$8*(1-'Assumptions'!$B$46)-'Debt Schedule'!$G$22)/($A18*'Assumptions'!$B$5*(1+'Assumptions'!$B$11)-'Assumptions'!$B$20),"N/A")</f>
        <v/>
      </c>
      <c r="E18" s="44">
        <f>IFERROR((E$14*'Operating Model'!$G$8*(1-'Assumptions'!$B$46)-'Debt Schedule'!$G$22)/($A18*'Assumptions'!$B$5*(1+'Assumptions'!$B$11)-'Assumptions'!$B$20),"N/A")</f>
        <v/>
      </c>
      <c r="F18" s="44">
        <f>IFERROR((F$14*'Operating Model'!$G$8*(1-'Assumptions'!$B$46)-'Debt Schedule'!$G$22)/($A18*'Assumptions'!$B$5*(1+'Assumptions'!$B$11)-'Assumptions'!$B$20),"N/A")</f>
        <v/>
      </c>
    </row>
    <row r="19">
      <c r="A19" s="40">
        <f>'Assumptions'!$B$7+(2)*'Assumptions'!$B$47</f>
        <v/>
      </c>
      <c r="B19" s="44">
        <f>IFERROR((B$14*'Operating Model'!$G$8*(1-'Assumptions'!$B$46)-'Debt Schedule'!$G$22)/($A19*'Assumptions'!$B$5*(1+'Assumptions'!$B$11)-'Assumptions'!$B$20),"N/A")</f>
        <v/>
      </c>
      <c r="C19" s="44">
        <f>IFERROR((C$14*'Operating Model'!$G$8*(1-'Assumptions'!$B$46)-'Debt Schedule'!$G$22)/($A19*'Assumptions'!$B$5*(1+'Assumptions'!$B$11)-'Assumptions'!$B$20),"N/A")</f>
        <v/>
      </c>
      <c r="D19" s="44">
        <f>IFERROR((D$14*'Operating Model'!$G$8*(1-'Assumptions'!$B$46)-'Debt Schedule'!$G$22)/($A19*'Assumptions'!$B$5*(1+'Assumptions'!$B$11)-'Assumptions'!$B$20),"N/A")</f>
        <v/>
      </c>
      <c r="E19" s="44">
        <f>IFERROR((E$14*'Operating Model'!$G$8*(1-'Assumptions'!$B$46)-'Debt Schedule'!$G$22)/($A19*'Assumptions'!$B$5*(1+'Assumptions'!$B$11)-'Assumptions'!$B$20),"N/A")</f>
        <v/>
      </c>
      <c r="F19" s="44">
        <f>IFERROR((F$14*'Operating Model'!$G$8*(1-'Assumptions'!$B$46)-'Debt Schedule'!$G$22)/($A19*'Assumptions'!$B$5*(1+'Assumptions'!$B$11)-'Assumptions'!$B$20),"N/A")</f>
        <v/>
      </c>
    </row>
    <row r="21">
      <c r="A21" s="43" t="inlineStr">
        <is>
          <t>Rows = Entry EV/EBITDA | Columns = Exit EV/EBITDA | Boxed centre = base case (must equal Returns tab)</t>
        </is>
      </c>
    </row>
    <row r="24">
      <c r="A24" s="43" t="inlineStr">
        <is>
          <t>Check: centre IRR − Returns!B17</t>
        </is>
      </c>
      <c r="B24" s="46">
        <f>ROUND(D7-Returns!B17,6)</f>
        <v/>
      </c>
    </row>
    <row r="26" ht="12" customHeight="1">
      <c r="B26" s="15" t="inlineStr">
        <is>
          <t>Francisco Rodriguez  |  Financial Modeling Portfolio  |  github.com/Azyo1</t>
        </is>
      </c>
    </row>
  </sheetData>
  <mergeCells count="3">
    <mergeCell ref="A3:F3"/>
    <mergeCell ref="A13:F13"/>
    <mergeCell ref="B26:G26"/>
  </mergeCells>
  <conditionalFormatting sqref="B5:F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2026-10-15T12:16:18Z</dcterms:created>
  <dcterms:modified xsi:type="dcterms:W3CDTF">2026-10-15T12:16:18Z</dcterms:modified>
</cp:coreProperties>
</file>