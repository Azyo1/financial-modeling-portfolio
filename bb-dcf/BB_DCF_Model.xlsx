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ssumptions" sheetId="2" state="visible" r:id="rId2"/>
    <sheet name="Operating Model" sheetId="3" state="visible" r:id="rId3"/>
    <sheet name="DCF" sheetId="4" state="visible" r:id="rId4"/>
    <sheet name="Sensitivity" sheetId="5" state="visible" r:id="rId5"/>
  </sheets>
  <definedNames/>
  <calcPr calcId="124519" fullCalcOnLoad="1"/>
</workbook>
</file>

<file path=xl/styles.xml><?xml version="1.0" encoding="utf-8"?>
<styleSheet xmlns="http://schemas.openxmlformats.org/spreadsheetml/2006/main">
  <numFmts count="5">
    <numFmt numFmtId="164" formatCode="&quot;$&quot;#,##0.00"/>
    <numFmt numFmtId="165" formatCode="0.0%"/>
    <numFmt numFmtId="166" formatCode="#,##0.0"/>
    <numFmt numFmtId="167" formatCode="0.0&quot;x&quot;"/>
    <numFmt numFmtId="168" formatCode="0.0000"/>
  </numFmts>
  <fonts count="16">
    <font>
      <name val="Calibri"/>
      <family val="2"/>
      <color theme="1"/>
      <sz val="11"/>
      <scheme val="minor"/>
    </font>
    <font>
      <name val="Calibri"/>
      <b val="1"/>
      <color rgb="00FFFFFF"/>
      <sz val="16"/>
    </font>
    <font>
      <name val="Calibri"/>
      <i val="1"/>
      <color rgb="00FFFFFF"/>
      <sz val="10"/>
    </font>
    <font>
      <name val="Calibri"/>
      <b val="1"/>
      <color rgb="00FFFFFF"/>
      <sz val="10"/>
    </font>
    <font>
      <name val="Calibri"/>
      <b val="1"/>
      <color rgb="00000000"/>
      <sz val="10"/>
    </font>
    <font>
      <name val="Calibri"/>
      <b val="1"/>
      <color rgb="001F3864"/>
      <sz val="11"/>
    </font>
    <font>
      <name val="Calibri"/>
      <color rgb="00000000"/>
      <sz val="9"/>
    </font>
    <font>
      <name val="Calibri"/>
      <color rgb="00000000"/>
      <sz val="10"/>
    </font>
    <font>
      <name val="Calibri"/>
      <i val="1"/>
      <color rgb="00767676"/>
      <sz val="8"/>
    </font>
    <font>
      <name val="Calibri"/>
      <color rgb="0017375E"/>
      <sz val="10"/>
    </font>
    <font>
      <name val="Calibri"/>
      <color rgb="00444444"/>
      <sz val="9"/>
    </font>
    <font>
      <name val="Calibri"/>
      <color rgb="00375623"/>
      <sz val="10"/>
    </font>
    <font>
      <name val="Calibri"/>
      <b val="1"/>
      <color rgb="001F3864"/>
      <sz val="12"/>
    </font>
    <font>
      <name val="Calibri"/>
      <b val="1"/>
      <color rgb="00375623"/>
      <sz val="10"/>
    </font>
    <font>
      <name val="Calibri"/>
      <i val="1"/>
      <color rgb="00444444"/>
      <sz val="8"/>
    </font>
    <font>
      <name val="Calibri"/>
      <b val="1"/>
      <color rgb="001F3864"/>
      <sz val="10"/>
    </font>
  </fonts>
  <fills count="7">
    <fill>
      <patternFill/>
    </fill>
    <fill>
      <patternFill patternType="gray125"/>
    </fill>
    <fill>
      <patternFill patternType="solid">
        <fgColor rgb="001F3864"/>
      </patternFill>
    </fill>
    <fill>
      <patternFill patternType="solid">
        <fgColor rgb="002F5496"/>
      </patternFill>
    </fill>
    <fill>
      <patternFill patternType="solid">
        <fgColor rgb="00DBE5F1"/>
      </patternFill>
    </fill>
    <fill>
      <patternFill patternType="solid">
        <fgColor rgb="00EBF1DE"/>
      </patternFill>
    </fill>
    <fill>
      <patternFill patternType="solid">
        <fgColor rgb="00F2F2F2"/>
      </patternFill>
    </fill>
  </fills>
  <borders count="1">
    <border>
      <left/>
      <right/>
      <top/>
      <bottom/>
      <diagonal/>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3" borderId="0" applyAlignment="1" pivotButton="0" quotePrefix="0" xfId="0">
      <alignment horizontal="center" vertical="center"/>
    </xf>
    <xf numFmtId="0" fontId="4" fillId="0" borderId="0" applyAlignment="1" pivotButton="0" quotePrefix="0" xfId="0">
      <alignment horizontal="left" vertical="center"/>
    </xf>
    <xf numFmtId="164" fontId="5" fillId="0" borderId="0" applyAlignment="1" pivotButton="0" quotePrefix="0" xfId="0">
      <alignment horizontal="center" vertical="center"/>
    </xf>
    <xf numFmtId="165" fontId="5" fillId="0" borderId="0" applyAlignment="1" pivotButton="0" quotePrefix="0" xfId="0">
      <alignment horizontal="center" vertical="center"/>
    </xf>
    <xf numFmtId="0" fontId="5" fillId="0" borderId="0" applyAlignment="1" pivotButton="0" quotePrefix="0" xfId="0">
      <alignment horizontal="center" vertical="center"/>
    </xf>
    <xf numFmtId="0" fontId="3" fillId="2" borderId="0" applyAlignment="1" pivotButton="0" quotePrefix="0" xfId="0">
      <alignment horizontal="left" vertical="center"/>
    </xf>
    <xf numFmtId="0" fontId="0" fillId="0" borderId="0" applyAlignment="1" pivotButton="0" quotePrefix="0" xfId="0">
      <alignment horizontal="right" vertical="center"/>
    </xf>
    <xf numFmtId="166" fontId="0" fillId="0" borderId="0" applyAlignment="1" pivotButton="0" quotePrefix="0" xfId="0">
      <alignment horizontal="right" vertical="center"/>
    </xf>
    <xf numFmtId="0" fontId="6" fillId="0" borderId="0" applyAlignment="1" pivotButton="0" quotePrefix="0" xfId="0">
      <alignment horizontal="left" vertical="center" wrapText="1" indent="1"/>
    </xf>
    <xf numFmtId="0" fontId="7" fillId="0" borderId="0" applyAlignment="1" pivotButton="0" quotePrefix="0" xfId="0">
      <alignment horizontal="left" vertical="center"/>
    </xf>
    <xf numFmtId="164" fontId="0" fillId="0" borderId="0" applyAlignment="1" pivotButton="0" quotePrefix="0" xfId="0">
      <alignment horizontal="center" vertical="center"/>
    </xf>
    <xf numFmtId="165" fontId="0" fillId="0" borderId="0" applyAlignment="1" pivotButton="0" quotePrefix="0" xfId="0">
      <alignment horizontal="center" vertical="center"/>
    </xf>
    <xf numFmtId="0" fontId="0" fillId="0" borderId="0" applyAlignment="1" pivotButton="0" quotePrefix="0" xfId="0">
      <alignment horizontal="center" vertical="center"/>
    </xf>
    <xf numFmtId="0" fontId="8" fillId="0" borderId="0" pivotButton="0" quotePrefix="0" xfId="0"/>
    <xf numFmtId="166" fontId="9" fillId="4" borderId="0" applyAlignment="1" pivotButton="0" quotePrefix="0" xfId="0">
      <alignment horizontal="right" vertical="center"/>
    </xf>
    <xf numFmtId="165" fontId="9" fillId="4" borderId="0" applyAlignment="1" pivotButton="0" quotePrefix="0" xfId="0">
      <alignment horizontal="right" vertical="center"/>
    </xf>
    <xf numFmtId="167" fontId="9" fillId="4" borderId="0" applyAlignment="1" pivotButton="0" quotePrefix="0" xfId="0">
      <alignment horizontal="right" vertical="center"/>
    </xf>
    <xf numFmtId="0" fontId="10" fillId="0" borderId="0" applyAlignment="1" pivotButton="0" quotePrefix="0" xfId="0">
      <alignment horizontal="left" vertical="center"/>
    </xf>
    <xf numFmtId="0" fontId="7" fillId="0" borderId="0" applyAlignment="1" pivotButton="0" quotePrefix="0" xfId="0">
      <alignment horizontal="left" vertical="center" indent="1"/>
    </xf>
    <xf numFmtId="165" fontId="7" fillId="0" borderId="0" applyAlignment="1" pivotButton="0" quotePrefix="0" xfId="0">
      <alignment horizontal="right" vertical="center"/>
    </xf>
    <xf numFmtId="164" fontId="9" fillId="4" borderId="0" applyAlignment="1" pivotButton="0" quotePrefix="0" xfId="0">
      <alignment horizontal="right" vertical="center"/>
    </xf>
    <xf numFmtId="166" fontId="11" fillId="5" borderId="0" applyAlignment="1" pivotButton="0" quotePrefix="0" xfId="0">
      <alignment horizontal="right" vertical="center"/>
    </xf>
    <xf numFmtId="166" fontId="7" fillId="0" borderId="0" applyAlignment="1" pivotButton="0" quotePrefix="0" xfId="0">
      <alignment horizontal="right" vertical="center"/>
    </xf>
    <xf numFmtId="0" fontId="10" fillId="0" borderId="0" pivotButton="0" quotePrefix="0" xfId="0"/>
    <xf numFmtId="165" fontId="10" fillId="0" borderId="0" applyAlignment="1" pivotButton="0" quotePrefix="0" xfId="0">
      <alignment horizontal="right" vertical="center"/>
    </xf>
    <xf numFmtId="166" fontId="4" fillId="6" borderId="0" applyAlignment="1" pivotButton="0" quotePrefix="0" xfId="0">
      <alignment horizontal="right" vertical="center"/>
    </xf>
    <xf numFmtId="166" fontId="4" fillId="0" borderId="0" applyAlignment="1" pivotButton="0" quotePrefix="0" xfId="0">
      <alignment horizontal="right" vertical="center"/>
    </xf>
    <xf numFmtId="165" fontId="11" fillId="5" borderId="0" applyAlignment="1" pivotButton="0" quotePrefix="0" xfId="0">
      <alignment horizontal="right" vertical="center"/>
    </xf>
    <xf numFmtId="3" fontId="7" fillId="0" borderId="0" applyAlignment="1" pivotButton="0" quotePrefix="0" xfId="0">
      <alignment horizontal="right" vertical="center"/>
    </xf>
    <xf numFmtId="168" fontId="7" fillId="0" borderId="0" applyAlignment="1" pivotButton="0" quotePrefix="0" xfId="0">
      <alignment horizontal="right" vertical="center"/>
    </xf>
    <xf numFmtId="167" fontId="11" fillId="5" borderId="0" applyAlignment="1" pivotButton="0" quotePrefix="0" xfId="0">
      <alignment horizontal="right" vertical="center"/>
    </xf>
    <xf numFmtId="164" fontId="12" fillId="6" borderId="0" applyAlignment="1" pivotButton="0" quotePrefix="0" xfId="0">
      <alignment horizontal="right" vertical="center"/>
    </xf>
    <xf numFmtId="168" fontId="11" fillId="5" borderId="0" applyAlignment="1" pivotButton="0" quotePrefix="0" xfId="0">
      <alignment horizontal="right" vertical="center"/>
    </xf>
    <xf numFmtId="164" fontId="11" fillId="5" borderId="0" applyAlignment="1" pivotButton="0" quotePrefix="0" xfId="0">
      <alignment horizontal="right" vertical="center"/>
    </xf>
    <xf numFmtId="165" fontId="13" fillId="6" borderId="0" applyAlignment="1" pivotButton="0" quotePrefix="0" xfId="0">
      <alignment horizontal="right" vertical="center"/>
    </xf>
    <xf numFmtId="49" fontId="13" fillId="6" borderId="0" applyAlignment="1" pivotButton="0" quotePrefix="0" xfId="0">
      <alignment horizontal="right" vertical="center"/>
    </xf>
    <xf numFmtId="0" fontId="3" fillId="2" borderId="0" applyAlignment="1" pivotButton="0" quotePrefix="0" xfId="0">
      <alignment horizontal="center" vertical="center"/>
    </xf>
    <xf numFmtId="167" fontId="7" fillId="0" borderId="0" applyAlignment="1" pivotButton="0" quotePrefix="0" xfId="0">
      <alignment horizontal="right" vertical="center"/>
    </xf>
    <xf numFmtId="0" fontId="14" fillId="0" borderId="0" pivotButton="0" quotePrefix="0" xfId="0"/>
    <xf numFmtId="167" fontId="0" fillId="0" borderId="0" applyAlignment="1" pivotButton="0" quotePrefix="0" xfId="0">
      <alignment horizontal="center" vertical="center"/>
    </xf>
    <xf numFmtId="165" fontId="15" fillId="0" borderId="0" applyAlignment="1" pivotButton="0" quotePrefix="0" xfId="0">
      <alignment horizontal="center" vertical="center"/>
    </xf>
    <xf numFmtId="167" fontId="15" fillId="0" borderId="0" applyAlignment="1" pivotButton="0" quotePrefix="0" xfId="0">
      <alignment horizontal="center" vertical="center"/>
    </xf>
    <xf numFmtId="164" fontId="15"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38"/>
  <sheetViews>
    <sheetView showGridLines="0" workbookViewId="0">
      <selection activeCell="A1" sqref="A1"/>
    </sheetView>
  </sheetViews>
  <sheetFormatPr baseColWidth="8" defaultRowHeight="15"/>
  <cols>
    <col width="2" customWidth="1" min="1" max="1"/>
    <col width="30" customWidth="1" min="2" max="2"/>
    <col width="18" customWidth="1" min="3" max="3"/>
    <col width="18" customWidth="1" min="4" max="4"/>
    <col width="18" customWidth="1" min="5" max="5"/>
    <col width="18" customWidth="1" min="6" max="6"/>
    <col width="18" customWidth="1" min="7" max="7"/>
  </cols>
  <sheetData>
    <row r="1" ht="6" customHeight="1"/>
    <row r="2" ht="36" customHeight="1">
      <c r="B2" s="1" t="inlineStr">
        <is>
          <t>BLACKBERRY LIMITED (NYSE: BB)</t>
        </is>
      </c>
    </row>
    <row r="3" ht="22" customHeight="1">
      <c r="B3" s="2" t="inlineStr">
        <is>
          <t>Equity Research — Initiation of Coverage  |  DCF + Segment Comps Valuation</t>
        </is>
      </c>
    </row>
    <row r="6" ht="18" customHeight="1">
      <c r="B6" s="3" t="inlineStr"/>
      <c r="C6" s="3" t="inlineStr">
        <is>
          <t>Current</t>
        </is>
      </c>
      <c r="D6" s="3" t="inlineStr">
        <is>
          <t>PT (Blended)</t>
        </is>
      </c>
      <c r="E6" s="3" t="inlineStr">
        <is>
          <t>Upside</t>
        </is>
      </c>
      <c r="F6" s="3" t="inlineStr">
        <is>
          <t>Rating</t>
        </is>
      </c>
    </row>
    <row r="7" ht="22" customHeight="1">
      <c r="B7" s="4" t="inlineStr">
        <is>
          <t>Stock Price / Price Target</t>
        </is>
      </c>
      <c r="C7" s="5">
        <f>Assumptions!$C$43</f>
        <v/>
      </c>
      <c r="D7" s="5">
        <f>DCF!$C$48</f>
        <v/>
      </c>
      <c r="E7" s="6">
        <f>DCF!$C$50</f>
        <v/>
      </c>
      <c r="F7" s="7">
        <f>DCF!$C$51</f>
        <v/>
      </c>
    </row>
    <row r="9" ht="16" customHeight="1">
      <c r="B9" s="8" t="inlineStr">
        <is>
          <t>COMPANY SNAPSHOT</t>
        </is>
      </c>
    </row>
    <row r="10">
      <c r="B10" s="4" t="inlineStr">
        <is>
          <t>Ticker</t>
        </is>
      </c>
      <c r="C10" s="9" t="inlineStr">
        <is>
          <t>BB</t>
        </is>
      </c>
      <c r="D10" s="4" t="inlineStr">
        <is>
          <t>Market Cap ($B)</t>
        </is>
      </c>
      <c r="E10" s="10">
        <f>Assumptions!$C$42*Assumptions!$C$43/1000</f>
        <v/>
      </c>
    </row>
    <row r="11">
      <c r="B11" s="4" t="inlineStr">
        <is>
          <t>Exchange</t>
        </is>
      </c>
      <c r="C11" s="9" t="inlineStr">
        <is>
          <t>NYSE</t>
        </is>
      </c>
      <c r="D11" s="4" t="inlineStr">
        <is>
          <t>Enterprise Value ($B)</t>
        </is>
      </c>
      <c r="E11" s="10">
        <f>(Assumptions!$C$42*Assumptions!$C$43-Assumptions!$C$41+Assumptions!$C$44)/1000</f>
        <v/>
      </c>
    </row>
    <row r="12">
      <c r="B12" s="4" t="inlineStr">
        <is>
          <t>Fiscal Year End</t>
        </is>
      </c>
      <c r="C12" s="9" t="inlineStr">
        <is>
          <t>Feb 28</t>
        </is>
      </c>
      <c r="D12" s="4" t="inlineStr">
        <is>
          <t>Net Cash ($M)</t>
        </is>
      </c>
      <c r="E12" s="10">
        <f>Assumptions!$C$41-Assumptions!$C$44</f>
        <v/>
      </c>
    </row>
    <row r="13">
      <c r="B13" s="4" t="inlineStr">
        <is>
          <t>Key Segment</t>
        </is>
      </c>
      <c r="C13" s="9" t="inlineStr">
        <is>
          <t>QNX (IoT OS)</t>
        </is>
      </c>
      <c r="D13" s="4" t="inlineStr">
        <is>
          <t>Shares Outstanding (M)</t>
        </is>
      </c>
      <c r="E13" s="10">
        <f>Assumptions!$C$42</f>
        <v/>
      </c>
    </row>
    <row r="14">
      <c r="B14" s="4" t="inlineStr">
        <is>
          <t>FY2026A Revenue ($M)</t>
        </is>
      </c>
      <c r="C14" s="10">
        <f>'Operating Model'!$C$8</f>
        <v/>
      </c>
      <c r="D14" s="4" t="inlineStr">
        <is>
          <t>FY2026A Adj EBITDA ($M)</t>
        </is>
      </c>
      <c r="E14" s="10">
        <f>'Operating Model'!$C$12</f>
        <v/>
      </c>
    </row>
    <row r="15">
      <c r="B15" s="4" t="inlineStr">
        <is>
          <t>QNX Royalty Backlog ($M)</t>
        </is>
      </c>
      <c r="C15" s="10">
        <f>Assumptions!$C$55</f>
        <v/>
      </c>
      <c r="D15" s="4" t="inlineStr">
        <is>
          <t>FCF (FY2026A, $M)</t>
        </is>
      </c>
      <c r="E15" s="10">
        <f>Assumptions!$C$56</f>
        <v/>
      </c>
    </row>
    <row r="17" ht="16" customHeight="1">
      <c r="B17" s="8" t="inlineStr">
        <is>
          <t>INVESTMENT THESIS</t>
        </is>
      </c>
    </row>
    <row r="18">
      <c r="B18" s="4" t="inlineStr">
        <is>
          <t>1. QNX Is the Safety OS for the Physical AI Era</t>
        </is>
      </c>
    </row>
    <row r="19" ht="52" customHeight="1">
      <c r="B19" s="11" t="inlineStr">
        <is>
          <t>NVIDIA IGX Thor + QNX OS for Safety 8.0 is the reference architecture for safety-critical edge AI: robotics, humanoids, surgical systems, industrial automation. QNX's IEC 61508 / ISO 26262 certifications are a 10-year moat competitors cannot replicate quickly. Every edge AI deployment that needs real-time determinism and functional safety certification runs on QNX. The NVIDIA collaboration announced April 20, 2026 expands TAM from ~$19B automotive software to the full edge AI systems market.</t>
        </is>
      </c>
    </row>
    <row r="21">
      <c r="B21" s="4" t="inlineStr">
        <is>
          <t>2. $950M Royalty Backlog = Durable Revenue Visibility</t>
        </is>
      </c>
    </row>
    <row r="22" ht="52" customHeight="1">
      <c r="B22" s="11" t="inlineStr">
        <is>
          <t>QNX earns a royalty for every unit shipped by its OEM customers — 275M vehicles already running QNX create a structural floor. The $950M royalty backlog (FY2026A exit) represents 2.5+ years of current QNX revenue with visibility into OEM production schedules. New design wins (Mercedes, BMW, Volvo, Leapmotor, defense contractor TKMS) continue to build backlog ahead of revenue recognition. This is recurring, high-margin software royalty income.</t>
        </is>
      </c>
    </row>
    <row r="24">
      <c r="B24" s="4" t="inlineStr">
        <is>
          <t>3. Analyst Consensus Is Stale — Street Hasn't Repriced the NVIDIA Catalyst</t>
        </is>
      </c>
    </row>
    <row r="25" ht="52" customHeight="1">
      <c r="B25" s="11" t="inlineStr">
        <is>
          <t>Wall Street consensus PT: $4.84 (Hold, 7 analysts). Stock is trading at $5.50, already through consensus — and NVIDIA deal was announced April 20 with no subsequent PT revisions captured in the consensus. Our blended DCF + comps PT reflects QNX's deserved premium as a pure-play safety OS (8x FY2028E EV/Rev for QNX segment vs. a blended 5x being implied by current price). The multiple re-rating is the catalyst.</t>
        </is>
      </c>
    </row>
    <row r="27">
      <c r="B27" s="4" t="inlineStr">
        <is>
          <t>4. FCF Inflection + Active Buyback Provides Downside Support</t>
        </is>
      </c>
    </row>
    <row r="28" ht="52" customHeight="1">
      <c r="B28" s="11" t="inlineStr">
        <is>
          <t>FY2026A FCF of $46.5M (up 3× YoY from $16.5M) and $432M of cash ($232M net of the $200M convertible) fund a $60M+ buyback program already underway (15.5M shares repurchased). At current share count, FCF yield is ~2.5% and growing to 5%+ by FY2028E as QNX royalties scale. The company returned to GAAP profitability in FY2026 ($53.2M net income), eliminating a major overhang that kept institutional investors sidelined.</t>
        </is>
      </c>
    </row>
    <row r="31" ht="16" customHeight="1">
      <c r="B31" s="8" t="inlineStr">
        <is>
          <t>VALUATION SUMMARY</t>
        </is>
      </c>
    </row>
    <row r="32" ht="18" customHeight="1">
      <c r="B32" s="3" t="inlineStr">
        <is>
          <t>Method</t>
        </is>
      </c>
      <c r="C32" s="3" t="inlineStr">
        <is>
          <t>Value</t>
        </is>
      </c>
      <c r="D32" s="3" t="inlineStr">
        <is>
          <t>Weight</t>
        </is>
      </c>
      <c r="E32" s="3" t="inlineStr">
        <is>
          <t>FY2028E Basis</t>
        </is>
      </c>
      <c r="F32" s="3" t="inlineStr"/>
      <c r="G32" s="3" t="inlineStr"/>
    </row>
    <row r="33" ht="16" customHeight="1">
      <c r="B33" s="12">
        <f>"DCF  (WACC "&amp;TEXT(Assumptions!$C$23,"0.0%")&amp;", "&amp;TEXT(Assumptions!$C$26,"0")&amp;"× FY2031E EBITDA)"</f>
        <v/>
      </c>
      <c r="C33" s="13">
        <f>DCF!$C$29</f>
        <v/>
      </c>
      <c r="D33" s="14">
        <f>Assumptions!$C$31</f>
        <v/>
      </c>
    </row>
    <row r="34" ht="16" customHeight="1">
      <c r="B34" s="12">
        <f>"Segment Comps  (QNX "&amp;TEXT(Assumptions!$C$29,"0.0")&amp;"× / CySec "&amp;TEXT(Assumptions!$C$30,"0.0")&amp;"× FY2028E Rev, PV)"</f>
        <v/>
      </c>
      <c r="C34" s="13">
        <f>DCF!$C$43</f>
        <v/>
      </c>
      <c r="D34" s="14">
        <f>Assumptions!$C$32</f>
        <v/>
      </c>
    </row>
    <row r="35" ht="16" customHeight="1">
      <c r="B35" s="4" t="inlineStr">
        <is>
          <t>Blended Price Target ★</t>
        </is>
      </c>
      <c r="C35" s="5">
        <f>DCF!$C$48</f>
        <v/>
      </c>
      <c r="D35" s="15" t="inlineStr">
        <is>
          <t>—</t>
        </is>
      </c>
    </row>
    <row r="38">
      <c r="B38" s="16" t="inlineStr">
        <is>
          <t>Francisco Rodriguez  |  April 2026  |  All figures in USD unless noted</t>
        </is>
      </c>
    </row>
  </sheetData>
  <mergeCells count="10">
    <mergeCell ref="B3:G3"/>
    <mergeCell ref="B2:G2"/>
    <mergeCell ref="B19:G19"/>
    <mergeCell ref="B38:G38"/>
    <mergeCell ref="B28:G28"/>
    <mergeCell ref="B22:G22"/>
    <mergeCell ref="B31:G31"/>
    <mergeCell ref="B17:G17"/>
    <mergeCell ref="B9:G9"/>
    <mergeCell ref="B25:G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H5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 customWidth="1" min="1" max="1"/>
    <col width="36" customWidth="1" min="2" max="2"/>
    <col width="14" customWidth="1" min="3" max="3"/>
    <col width="14" customWidth="1" min="4" max="4"/>
    <col width="14" customWidth="1" min="5" max="5"/>
    <col width="14" customWidth="1" min="6" max="6"/>
    <col width="14" customWidth="1" min="7" max="7"/>
    <col width="14" customWidth="1" min="8" max="8"/>
  </cols>
  <sheetData>
    <row r="1">
      <c r="B1" s="8" t="inlineStr">
        <is>
          <t>ASSUMPTIONS  —  ALL HARDCODED INPUTS (BLUE CELLS)</t>
        </is>
      </c>
    </row>
    <row r="3">
      <c r="B3" s="4" t="inlineStr">
        <is>
          <t>Metric / Year</t>
        </is>
      </c>
      <c r="C3" s="3" t="inlineStr">
        <is>
          <t>FY2026A</t>
        </is>
      </c>
      <c r="D3" s="3" t="inlineStr">
        <is>
          <t>FY2027E</t>
        </is>
      </c>
      <c r="E3" s="3" t="inlineStr">
        <is>
          <t>FY2028E</t>
        </is>
      </c>
      <c r="F3" s="3" t="inlineStr">
        <is>
          <t>FY2029E</t>
        </is>
      </c>
      <c r="G3" s="3" t="inlineStr">
        <is>
          <t>FY2030E</t>
        </is>
      </c>
      <c r="H3" s="3" t="inlineStr">
        <is>
          <t>FY2031E</t>
        </is>
      </c>
    </row>
    <row r="5">
      <c r="B5" s="8" t="inlineStr">
        <is>
          <t>BASE YEAR ACTUALS (FY2026A, $M)</t>
        </is>
      </c>
    </row>
    <row r="6">
      <c r="B6" s="12" t="inlineStr">
        <is>
          <t>IoT / QNX Revenue (FY2026A)</t>
        </is>
      </c>
      <c r="C6" s="17" t="n">
        <v>268</v>
      </c>
    </row>
    <row r="7">
      <c r="B7" s="12" t="inlineStr">
        <is>
          <t>Cybersecurity Revenue (FY2026A)</t>
        </is>
      </c>
      <c r="C7" s="17" t="n">
        <v>281.1</v>
      </c>
    </row>
    <row r="9">
      <c r="B9" s="8" t="inlineStr">
        <is>
          <t>REVENUE GROWTH RATE ASSUMPTIONS</t>
        </is>
      </c>
    </row>
    <row r="10">
      <c r="B10" s="12" t="inlineStr">
        <is>
          <t>IoT / QNX YoY Revenue Growth %</t>
        </is>
      </c>
      <c r="C10" t="inlineStr">
        <is>
          <t>BASE</t>
        </is>
      </c>
      <c r="D10" s="18" t="n">
        <v>0.179</v>
      </c>
      <c r="E10" s="18" t="n">
        <v>0.174</v>
      </c>
      <c r="F10" s="18" t="n">
        <v>0.151</v>
      </c>
      <c r="G10" s="18" t="n">
        <v>0.117</v>
      </c>
      <c r="H10" s="18" t="n">
        <v>0.092</v>
      </c>
    </row>
    <row r="11">
      <c r="B11" s="12" t="inlineStr">
        <is>
          <t>Cybersecurity YoY Revenue Growth %</t>
        </is>
      </c>
      <c r="C11" t="inlineStr">
        <is>
          <t>BASE</t>
        </is>
      </c>
      <c r="D11" s="18" t="n">
        <v>0.014</v>
      </c>
      <c r="E11" s="18" t="n">
        <v>0.021</v>
      </c>
      <c r="F11" s="18" t="n">
        <v>0.021</v>
      </c>
      <c r="G11" s="18" t="n">
        <v>0.02</v>
      </c>
      <c r="H11" s="18" t="n">
        <v>0.01</v>
      </c>
    </row>
    <row r="13">
      <c r="B13" s="8" t="inlineStr">
        <is>
          <t>PROFITABILITY ASSUMPTIONS</t>
        </is>
      </c>
    </row>
    <row r="14">
      <c r="B14" s="12" t="inlineStr">
        <is>
          <t>Adj EBITDA Margin %</t>
        </is>
      </c>
      <c r="C14" s="18" t="n">
        <v>0.195</v>
      </c>
      <c r="D14" s="18" t="n">
        <v>0.22</v>
      </c>
      <c r="E14" s="18" t="n">
        <v>0.25</v>
      </c>
      <c r="F14" s="18" t="n">
        <v>0.27</v>
      </c>
      <c r="G14" s="18" t="n">
        <v>0.29</v>
      </c>
      <c r="H14" s="18" t="n">
        <v>0.31</v>
      </c>
    </row>
    <row r="15">
      <c r="B15" s="12" t="inlineStr">
        <is>
          <t>Depreciation &amp; Amortization ($M)</t>
        </is>
      </c>
      <c r="C15" s="17" t="n">
        <v>42</v>
      </c>
      <c r="D15" s="17" t="n">
        <v>42</v>
      </c>
      <c r="E15" s="17" t="n">
        <v>40</v>
      </c>
      <c r="F15" s="17" t="n">
        <v>38</v>
      </c>
      <c r="G15" s="17" t="n">
        <v>37</v>
      </c>
      <c r="H15" s="17" t="n">
        <v>36</v>
      </c>
    </row>
    <row r="17">
      <c r="B17" s="8" t="inlineStr">
        <is>
          <t>CASH FLOW ASSUMPTIONS ($M)</t>
        </is>
      </c>
    </row>
    <row r="18">
      <c r="B18" s="12" t="inlineStr">
        <is>
          <t>Capital Expenditures ($M)</t>
        </is>
      </c>
      <c r="C18" s="17" t="n">
        <v>15</v>
      </c>
      <c r="D18" s="17" t="n">
        <v>15</v>
      </c>
      <c r="E18" s="17" t="n">
        <v>15</v>
      </c>
      <c r="F18" s="17" t="n">
        <v>15</v>
      </c>
      <c r="G18" s="17" t="n">
        <v>15</v>
      </c>
      <c r="H18" s="17" t="n">
        <v>15</v>
      </c>
    </row>
    <row r="19">
      <c r="B19" s="12" t="inlineStr">
        <is>
          <t>Change in Net Working Capital ($M)</t>
        </is>
      </c>
      <c r="C19" s="17" t="n">
        <v>5</v>
      </c>
      <c r="D19" s="17" t="n">
        <v>8</v>
      </c>
      <c r="E19" s="17" t="n">
        <v>10</v>
      </c>
      <c r="F19" s="17" t="n">
        <v>11</v>
      </c>
      <c r="G19" s="17" t="n">
        <v>12</v>
      </c>
      <c r="H19" s="17" t="n">
        <v>12</v>
      </c>
    </row>
    <row r="20">
      <c r="B20" s="12" t="inlineStr">
        <is>
          <t>Tax Rate (applied when EBIT &gt; 0)</t>
        </is>
      </c>
      <c r="C20" s="18" t="n">
        <v>0.25</v>
      </c>
    </row>
    <row r="22">
      <c r="B22" s="8" t="inlineStr">
        <is>
          <t>WACC &amp; TERMINAL VALUE INPUTS</t>
        </is>
      </c>
    </row>
    <row r="23">
      <c r="B23" s="12" t="inlineStr">
        <is>
          <t>WACC — Base Case</t>
        </is>
      </c>
      <c r="C23" s="18" t="n">
        <v>0.09</v>
      </c>
    </row>
    <row r="24">
      <c r="B24" s="12" t="inlineStr">
        <is>
          <t>WACC — Bull Case</t>
        </is>
      </c>
      <c r="C24" s="18" t="n">
        <v>0.08</v>
      </c>
    </row>
    <row r="25">
      <c r="B25" s="12" t="inlineStr">
        <is>
          <t>WACC — Bear Case</t>
        </is>
      </c>
      <c r="C25" s="18" t="n">
        <v>0.105</v>
      </c>
    </row>
    <row r="26">
      <c r="B26" s="12" t="inlineStr">
        <is>
          <t>Exit EV/EBITDA Multiple — Base</t>
        </is>
      </c>
      <c r="C26" s="19" t="n">
        <v>16</v>
      </c>
    </row>
    <row r="27">
      <c r="B27" s="12" t="inlineStr">
        <is>
          <t>Exit EV/EBITDA Multiple — Bull</t>
        </is>
      </c>
      <c r="C27" s="19" t="n">
        <v>20</v>
      </c>
    </row>
    <row r="28">
      <c r="B28" s="12" t="inlineStr">
        <is>
          <t>Exit EV/EBITDA Multiple — Bear</t>
        </is>
      </c>
      <c r="C28" s="19" t="n">
        <v>12</v>
      </c>
    </row>
    <row r="29">
      <c r="B29" s="12" t="inlineStr">
        <is>
          <t>QNX EV / Revenue Multiple (Comps, FY2028E)</t>
        </is>
      </c>
      <c r="C29" s="19" t="n">
        <v>8</v>
      </c>
    </row>
    <row r="30">
      <c r="B30" s="12" t="inlineStr">
        <is>
          <t>CySec EV / Revenue Multiple (Comps, FY2028E)</t>
        </is>
      </c>
      <c r="C30" s="19" t="n">
        <v>3.5</v>
      </c>
    </row>
    <row r="31">
      <c r="B31" s="12" t="inlineStr">
        <is>
          <t>DCF Weight in Blended PT</t>
        </is>
      </c>
      <c r="C31" s="18" t="n">
        <v>0.4</v>
      </c>
    </row>
    <row r="32">
      <c r="B32" s="12" t="inlineStr">
        <is>
          <t>Comps Weight in Blended PT</t>
        </is>
      </c>
      <c r="C32" s="18" t="n">
        <v>0.6</v>
      </c>
    </row>
    <row r="34">
      <c r="B34" s="8" t="inlineStr">
        <is>
          <t>WACC COMPONENTS (REFERENCE)</t>
        </is>
      </c>
    </row>
    <row r="35">
      <c r="B35" s="12" t="inlineStr">
        <is>
          <t>Risk-Free Rate (10-yr UST)</t>
        </is>
      </c>
      <c r="C35" s="18" t="n">
        <v>0.045</v>
      </c>
      <c r="D35" s="20" t="inlineStr">
        <is>
          <t>April 2026 10-yr Treasury yield</t>
        </is>
      </c>
    </row>
    <row r="36">
      <c r="B36" s="12" t="inlineStr">
        <is>
          <t>Equity Risk Premium</t>
        </is>
      </c>
      <c r="C36" s="18" t="n">
        <v>0.055</v>
      </c>
      <c r="D36" s="20" t="inlineStr">
        <is>
          <t>Damodaran US ERP</t>
        </is>
      </c>
    </row>
    <row r="37">
      <c r="B37" s="12" t="inlineStr">
        <is>
          <t>Beta (Relevered)</t>
        </is>
      </c>
      <c r="C37" s="17" t="n">
        <v>0.82</v>
      </c>
      <c r="D37" s="20" t="inlineStr">
        <is>
          <t>Pure-play software; below market beta reflects royalty revenue stability</t>
        </is>
      </c>
    </row>
    <row r="38">
      <c r="B38" s="12" t="inlineStr">
        <is>
          <t>Size Premium</t>
        </is>
      </c>
      <c r="C38" s="18" t="n">
        <v>0</v>
      </c>
      <c r="D38" s="20" t="inlineStr">
        <is>
          <t>~$3B market cap — no size premium applied</t>
        </is>
      </c>
    </row>
    <row r="39">
      <c r="B39" s="21" t="inlineStr">
        <is>
          <t xml:space="preserve">  Derived WACC Check  (RF + ERP×β + Size)</t>
        </is>
      </c>
      <c r="C39" s="22">
        <f>Assumptions!$C$35+Assumptions!$C$36*Assumptions!$C$37+Assumptions!$C$38</f>
        <v/>
      </c>
    </row>
    <row r="40">
      <c r="B40" s="8" t="inlineStr">
        <is>
          <t>BALANCE SHEET INPUTS (FY2026A)</t>
        </is>
      </c>
    </row>
    <row r="41">
      <c r="B41" s="4" t="inlineStr">
        <is>
          <t>Cash &amp; Investments ($M)</t>
        </is>
      </c>
      <c r="C41" s="17" t="n">
        <v>432.4</v>
      </c>
      <c r="D41" s="20" t="inlineStr">
        <is>
          <t>As of Feb 28, 2026 (FY2026A 10-K)</t>
        </is>
      </c>
    </row>
    <row r="42">
      <c r="B42" s="4" t="inlineStr">
        <is>
          <t>Shares Outstanding — Diluted (M)</t>
        </is>
      </c>
      <c r="C42" s="17" t="n">
        <v>588</v>
      </c>
      <c r="D42" s="20" t="inlineStr">
        <is>
          <t>Basic 588M; diluted ~590M — using 588M (post-buyback)</t>
        </is>
      </c>
    </row>
    <row r="43">
      <c r="B43" s="4" t="inlineStr">
        <is>
          <t>Current Stock Price</t>
        </is>
      </c>
      <c r="C43" s="23" t="n">
        <v>5.5</v>
      </c>
      <c r="D43" s="20" t="inlineStr">
        <is>
          <t>April 2026 (post-NVIDIA deal rally)</t>
        </is>
      </c>
    </row>
    <row r="44">
      <c r="B44" s="4" t="inlineStr">
        <is>
          <t>Total Debt — 3.00% Convertible Notes ($M)</t>
        </is>
      </c>
      <c r="C44" s="17" t="n">
        <v>200</v>
      </c>
      <c r="D44" s="20" t="inlineStr">
        <is>
          <t>$200M principal due Feb 15, 2029 (FY2026A 10-K) — subtracted in both equity bridges</t>
        </is>
      </c>
    </row>
    <row r="45">
      <c r="B45" s="4" t="inlineStr">
        <is>
          <t>Years to Discount FY2028E Comps EV</t>
        </is>
      </c>
      <c r="C45" s="17" t="n">
        <v>1</v>
      </c>
      <c r="D45" s="20" t="inlineStr">
        <is>
          <t>FY2028E multiple implies value ~1 year out — discounted back at base WACC</t>
        </is>
      </c>
    </row>
    <row r="46">
      <c r="B46" s="4" t="inlineStr">
        <is>
          <t>QNX EV / Revenue Multiple — Bear</t>
        </is>
      </c>
      <c r="C46" s="19" t="n">
        <v>6</v>
      </c>
      <c r="D46" s="20" t="inlineStr">
        <is>
          <t>Scenario summary</t>
        </is>
      </c>
    </row>
    <row r="47">
      <c r="B47" s="4" t="inlineStr">
        <is>
          <t>QNX EV / Revenue Multiple — Bull</t>
        </is>
      </c>
      <c r="C47" s="19" t="n">
        <v>10</v>
      </c>
      <c r="D47" s="20" t="inlineStr">
        <is>
          <t>Scenario summary</t>
        </is>
      </c>
    </row>
    <row r="49">
      <c r="B49" s="8" t="inlineStr">
        <is>
          <t>SENSITIVITY, RATING &amp; COVER INPUTS</t>
        </is>
      </c>
    </row>
    <row r="50">
      <c r="B50" s="12" t="inlineStr">
        <is>
          <t>Sensitivity Step — WACC</t>
        </is>
      </c>
      <c r="C50" s="18" t="n">
        <v>0.005</v>
      </c>
      <c r="D50" s="20" t="inlineStr">
        <is>
          <t>Axis centred on base WACC</t>
        </is>
      </c>
    </row>
    <row r="51">
      <c r="B51" s="12" t="inlineStr">
        <is>
          <t>Sensitivity Step — Exit EV/EBITDA</t>
        </is>
      </c>
      <c r="C51" s="19" t="n">
        <v>2</v>
      </c>
      <c r="D51" s="20" t="inlineStr">
        <is>
          <t>Axis centred on base exit multiple</t>
        </is>
      </c>
    </row>
    <row r="52">
      <c r="B52" s="12" t="inlineStr">
        <is>
          <t>Sensitivity Step — QNX EV/Revenue</t>
        </is>
      </c>
      <c r="C52" s="19" t="n">
        <v>1</v>
      </c>
      <c r="D52" s="20" t="inlineStr">
        <is>
          <t>Axis centred on base QNX multiple</t>
        </is>
      </c>
    </row>
    <row r="53">
      <c r="B53" s="12" t="inlineStr">
        <is>
          <t>Overweight if upside ≥</t>
        </is>
      </c>
      <c r="C53" s="18" t="n">
        <v>0.1</v>
      </c>
      <c r="D53" s="20" t="inlineStr"/>
    </row>
    <row r="54">
      <c r="B54" s="12" t="inlineStr">
        <is>
          <t>Underweight if upside ≤</t>
        </is>
      </c>
      <c r="C54" s="18" t="n">
        <v>-0.1</v>
      </c>
      <c r="D54" s="20" t="inlineStr">
        <is>
          <t>Otherwise Equal-Weight</t>
        </is>
      </c>
    </row>
    <row r="55">
      <c r="B55" s="12" t="inlineStr">
        <is>
          <t>QNX Royalty Backlog ($M)</t>
        </is>
      </c>
      <c r="C55" s="17" t="n">
        <v>950</v>
      </c>
      <c r="D55" s="20" t="inlineStr">
        <is>
          <t>FY2026A exit (Q4 FY2026 call)</t>
        </is>
      </c>
    </row>
    <row r="56">
      <c r="B56" s="12" t="inlineStr">
        <is>
          <t>FY2026A Free Cash Flow ($M)</t>
        </is>
      </c>
      <c r="C56" s="17" t="n">
        <v>46.5</v>
      </c>
      <c r="D56" s="20" t="inlineStr">
        <is>
          <t>FY2026A 10-K</t>
        </is>
      </c>
    </row>
    <row r="58">
      <c r="B58" s="16" t="inlineStr">
        <is>
          <t>Francisco Rodriguez  |  Financial Modeling Portfolio  |  github.com/Azyo1</t>
        </is>
      </c>
    </row>
  </sheetData>
  <mergeCells count="9">
    <mergeCell ref="B22:H22"/>
    <mergeCell ref="B17:H17"/>
    <mergeCell ref="B9:H9"/>
    <mergeCell ref="B1:H1"/>
    <mergeCell ref="B13:H13"/>
    <mergeCell ref="B40:H40"/>
    <mergeCell ref="B49:H49"/>
    <mergeCell ref="B34:E34"/>
    <mergeCell ref="B5:H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H24"/>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3" customWidth="1" min="3" max="3"/>
    <col width="13" customWidth="1" min="4" max="4"/>
    <col width="13" customWidth="1" min="5" max="5"/>
    <col width="13" customWidth="1" min="6" max="6"/>
    <col width="13" customWidth="1" min="7" max="7"/>
    <col width="13" customWidth="1" min="8" max="8"/>
  </cols>
  <sheetData>
    <row r="1">
      <c r="B1" s="8" t="inlineStr">
        <is>
          <t>OPERATING MODEL  ($M)</t>
        </is>
      </c>
    </row>
    <row r="2" ht="18" customHeight="1">
      <c r="B2" s="4" t="inlineStr">
        <is>
          <t>Metric</t>
        </is>
      </c>
      <c r="C2" s="3" t="inlineStr">
        <is>
          <t>FY2026A</t>
        </is>
      </c>
      <c r="D2" s="3" t="inlineStr">
        <is>
          <t>FY2027E</t>
        </is>
      </c>
      <c r="E2" s="3" t="inlineStr">
        <is>
          <t>FY2028E</t>
        </is>
      </c>
      <c r="F2" s="3" t="inlineStr">
        <is>
          <t>FY2029E</t>
        </is>
      </c>
      <c r="G2" s="3" t="inlineStr">
        <is>
          <t>FY2030E</t>
        </is>
      </c>
      <c r="H2" s="3" t="inlineStr">
        <is>
          <t>FY2031E</t>
        </is>
      </c>
    </row>
    <row r="3">
      <c r="B3" s="8" t="inlineStr">
        <is>
          <t>REVENUE</t>
        </is>
      </c>
    </row>
    <row r="4">
      <c r="B4" s="4" t="inlineStr">
        <is>
          <t>IoT / QNX Revenue</t>
        </is>
      </c>
      <c r="C4" s="24">
        <f>Assumptions!$C$6</f>
        <v/>
      </c>
      <c r="D4" s="25">
        <f>C4*(1+Assumptions!$D$10)</f>
        <v/>
      </c>
      <c r="E4" s="25">
        <f>D4*(1+Assumptions!$E$10)</f>
        <v/>
      </c>
      <c r="F4" s="25">
        <f>E4*(1+Assumptions!$F$10)</f>
        <v/>
      </c>
      <c r="G4" s="25">
        <f>F4*(1+Assumptions!$G$10)</f>
        <v/>
      </c>
      <c r="H4" s="25">
        <f>G4*(1+Assumptions!$H$10)</f>
        <v/>
      </c>
    </row>
    <row r="5">
      <c r="B5" s="21" t="inlineStr">
        <is>
          <t xml:space="preserve">  QNX YoY Growth %</t>
        </is>
      </c>
      <c r="C5" s="26" t="inlineStr">
        <is>
          <t>FY2026A</t>
        </is>
      </c>
      <c r="D5" s="27">
        <f>D4/C4-1</f>
        <v/>
      </c>
      <c r="E5" s="27">
        <f>E4/D4-1</f>
        <v/>
      </c>
      <c r="F5" s="27">
        <f>F4/E4-1</f>
        <v/>
      </c>
      <c r="G5" s="27">
        <f>G4/F4-1</f>
        <v/>
      </c>
      <c r="H5" s="27">
        <f>H4/G4-1</f>
        <v/>
      </c>
    </row>
    <row r="6">
      <c r="B6" s="4" t="inlineStr">
        <is>
          <t>Cybersecurity Revenue</t>
        </is>
      </c>
      <c r="C6" s="24">
        <f>Assumptions!$C$7</f>
        <v/>
      </c>
      <c r="D6" s="25">
        <f>C6*(1+Assumptions!$D$11)</f>
        <v/>
      </c>
      <c r="E6" s="25">
        <f>D6*(1+Assumptions!$E$11)</f>
        <v/>
      </c>
      <c r="F6" s="25">
        <f>E6*(1+Assumptions!$F$11)</f>
        <v/>
      </c>
      <c r="G6" s="25">
        <f>F6*(1+Assumptions!$G$11)</f>
        <v/>
      </c>
      <c r="H6" s="25">
        <f>G6*(1+Assumptions!$H$11)</f>
        <v/>
      </c>
    </row>
    <row r="7">
      <c r="B7" s="21" t="inlineStr">
        <is>
          <t xml:space="preserve">  CySec YoY Growth %</t>
        </is>
      </c>
      <c r="C7" s="26" t="inlineStr">
        <is>
          <t>FY2026A</t>
        </is>
      </c>
      <c r="D7" s="27">
        <f>D6/C6-1</f>
        <v/>
      </c>
      <c r="E7" s="27">
        <f>E6/D6-1</f>
        <v/>
      </c>
      <c r="F7" s="27">
        <f>F6/E6-1</f>
        <v/>
      </c>
      <c r="G7" s="27">
        <f>G6/F6-1</f>
        <v/>
      </c>
      <c r="H7" s="27">
        <f>H6/G6-1</f>
        <v/>
      </c>
    </row>
    <row r="8">
      <c r="B8" s="4" t="inlineStr">
        <is>
          <t>Total Revenue</t>
        </is>
      </c>
      <c r="C8" s="28">
        <f>C4+C6</f>
        <v/>
      </c>
      <c r="D8" s="28">
        <f>D4+D6</f>
        <v/>
      </c>
      <c r="E8" s="28">
        <f>E4+E6</f>
        <v/>
      </c>
      <c r="F8" s="28">
        <f>F4+F6</f>
        <v/>
      </c>
      <c r="G8" s="28">
        <f>G4+G6</f>
        <v/>
      </c>
      <c r="H8" s="28">
        <f>H4+H6</f>
        <v/>
      </c>
    </row>
    <row r="9">
      <c r="B9" s="21" t="inlineStr">
        <is>
          <t xml:space="preserve">  Total YoY Growth %</t>
        </is>
      </c>
      <c r="C9" s="26" t="inlineStr">
        <is>
          <t>FY2026A</t>
        </is>
      </c>
      <c r="D9" s="27">
        <f>D8/C8-1</f>
        <v/>
      </c>
      <c r="E9" s="27">
        <f>E8/D8-1</f>
        <v/>
      </c>
      <c r="F9" s="27">
        <f>F8/E8-1</f>
        <v/>
      </c>
      <c r="G9" s="27">
        <f>G8/F8-1</f>
        <v/>
      </c>
      <c r="H9" s="27">
        <f>H8/G8-1</f>
        <v/>
      </c>
    </row>
    <row r="11">
      <c r="B11" s="8" t="inlineStr">
        <is>
          <t>EBITDA &amp; PROFITABILITY</t>
        </is>
      </c>
    </row>
    <row r="12">
      <c r="B12" s="4" t="inlineStr">
        <is>
          <t>Adj EBITDA</t>
        </is>
      </c>
      <c r="C12" s="29">
        <f>C8*Assumptions!$C$14</f>
        <v/>
      </c>
      <c r="D12" s="29">
        <f>D8*Assumptions!$D$14</f>
        <v/>
      </c>
      <c r="E12" s="29">
        <f>E8*Assumptions!$E$14</f>
        <v/>
      </c>
      <c r="F12" s="29">
        <f>F8*Assumptions!$F$14</f>
        <v/>
      </c>
      <c r="G12" s="29">
        <f>G8*Assumptions!$G$14</f>
        <v/>
      </c>
      <c r="H12" s="29">
        <f>H8*Assumptions!$H$14</f>
        <v/>
      </c>
    </row>
    <row r="13">
      <c r="B13" s="21" t="inlineStr">
        <is>
          <t xml:space="preserve">  Adj EBITDA Margin %</t>
        </is>
      </c>
      <c r="C13" s="30">
        <f>Assumptions!$C$14</f>
        <v/>
      </c>
      <c r="D13" s="30">
        <f>Assumptions!$D$14</f>
        <v/>
      </c>
      <c r="E13" s="30">
        <f>Assumptions!$E$14</f>
        <v/>
      </c>
      <c r="F13" s="30">
        <f>Assumptions!$F$14</f>
        <v/>
      </c>
      <c r="G13" s="30">
        <f>Assumptions!$G$14</f>
        <v/>
      </c>
      <c r="H13" s="30">
        <f>Assumptions!$H$14</f>
        <v/>
      </c>
    </row>
    <row r="14">
      <c r="B14" s="21" t="inlineStr">
        <is>
          <t xml:space="preserve">  Depreciation &amp; Amortization</t>
        </is>
      </c>
      <c r="C14" s="24">
        <f>Assumptions!$C$15</f>
        <v/>
      </c>
      <c r="D14" s="24">
        <f>Assumptions!$D$15</f>
        <v/>
      </c>
      <c r="E14" s="24">
        <f>Assumptions!$E$15</f>
        <v/>
      </c>
      <c r="F14" s="24">
        <f>Assumptions!$F$15</f>
        <v/>
      </c>
      <c r="G14" s="24">
        <f>Assumptions!$G$15</f>
        <v/>
      </c>
      <c r="H14" s="24">
        <f>Assumptions!$H$15</f>
        <v/>
      </c>
    </row>
    <row r="15">
      <c r="B15" s="4" t="inlineStr">
        <is>
          <t>EBIT (Operating Income)</t>
        </is>
      </c>
      <c r="C15" s="29">
        <f>C12-C14</f>
        <v/>
      </c>
      <c r="D15" s="29">
        <f>D12-D14</f>
        <v/>
      </c>
      <c r="E15" s="29">
        <f>E12-E14</f>
        <v/>
      </c>
      <c r="F15" s="29">
        <f>F12-F14</f>
        <v/>
      </c>
      <c r="G15" s="29">
        <f>G12-G14</f>
        <v/>
      </c>
      <c r="H15" s="29">
        <f>H12-H14</f>
        <v/>
      </c>
    </row>
    <row r="16">
      <c r="B16" s="21" t="inlineStr">
        <is>
          <t xml:space="preserve">  EBIT Margin %</t>
        </is>
      </c>
      <c r="C16" s="27">
        <f>C15/C8</f>
        <v/>
      </c>
      <c r="D16" s="27">
        <f>D15/D8</f>
        <v/>
      </c>
      <c r="E16" s="27">
        <f>E15/E8</f>
        <v/>
      </c>
      <c r="F16" s="27">
        <f>F15/F8</f>
        <v/>
      </c>
      <c r="G16" s="27">
        <f>G15/G8</f>
        <v/>
      </c>
      <c r="H16" s="27">
        <f>H15/H8</f>
        <v/>
      </c>
    </row>
    <row r="17">
      <c r="B17" s="4" t="inlineStr">
        <is>
          <t>NOPAT  [EBIT × (1 – Tax)]</t>
        </is>
      </c>
      <c r="C17" s="29">
        <f>C15*(1-Assumptions!$C$20)</f>
        <v/>
      </c>
      <c r="D17" s="29">
        <f>D15*(1-Assumptions!$C$20)</f>
        <v/>
      </c>
      <c r="E17" s="29">
        <f>E15*(1-Assumptions!$C$20)</f>
        <v/>
      </c>
      <c r="F17" s="29">
        <f>F15*(1-Assumptions!$C$20)</f>
        <v/>
      </c>
      <c r="G17" s="29">
        <f>G15*(1-Assumptions!$C$20)</f>
        <v/>
      </c>
      <c r="H17" s="29">
        <f>H15*(1-Assumptions!$C$20)</f>
        <v/>
      </c>
    </row>
    <row r="19">
      <c r="B19" s="8" t="inlineStr">
        <is>
          <t>UNLEVERED FREE CASH FLOW BRIDGE</t>
        </is>
      </c>
    </row>
    <row r="20">
      <c r="B20" s="12" t="inlineStr">
        <is>
          <t>NOPAT</t>
        </is>
      </c>
      <c r="C20" s="24">
        <f>C17</f>
        <v/>
      </c>
      <c r="D20" s="24">
        <f>D17</f>
        <v/>
      </c>
      <c r="E20" s="24">
        <f>E17</f>
        <v/>
      </c>
      <c r="F20" s="24">
        <f>F17</f>
        <v/>
      </c>
      <c r="G20" s="24">
        <f>G17</f>
        <v/>
      </c>
      <c r="H20" s="24">
        <f>H17</f>
        <v/>
      </c>
    </row>
    <row r="21">
      <c r="B21" s="21" t="inlineStr">
        <is>
          <t xml:space="preserve">  (+) D&amp;A</t>
        </is>
      </c>
      <c r="C21" s="24">
        <f>Assumptions!$C$15</f>
        <v/>
      </c>
      <c r="D21" s="24">
        <f>Assumptions!$D$15</f>
        <v/>
      </c>
      <c r="E21" s="24">
        <f>Assumptions!$E$15</f>
        <v/>
      </c>
      <c r="F21" s="24">
        <f>Assumptions!$F$15</f>
        <v/>
      </c>
      <c r="G21" s="24">
        <f>Assumptions!$G$15</f>
        <v/>
      </c>
      <c r="H21" s="24">
        <f>Assumptions!$H$15</f>
        <v/>
      </c>
    </row>
    <row r="22">
      <c r="B22" s="21" t="inlineStr">
        <is>
          <t xml:space="preserve">  (–) Capital Expenditures</t>
        </is>
      </c>
      <c r="C22" s="24">
        <f>-Assumptions!$C$18</f>
        <v/>
      </c>
      <c r="D22" s="24">
        <f>-Assumptions!$D$18</f>
        <v/>
      </c>
      <c r="E22" s="24">
        <f>-Assumptions!$E$18</f>
        <v/>
      </c>
      <c r="F22" s="24">
        <f>-Assumptions!$F$18</f>
        <v/>
      </c>
      <c r="G22" s="24">
        <f>-Assumptions!$G$18</f>
        <v/>
      </c>
      <c r="H22" s="24">
        <f>-Assumptions!$H$18</f>
        <v/>
      </c>
    </row>
    <row r="23">
      <c r="B23" s="21" t="inlineStr">
        <is>
          <t xml:space="preserve">  (–) Change in Net Working Capital</t>
        </is>
      </c>
      <c r="C23" s="24">
        <f>-Assumptions!$C$19</f>
        <v/>
      </c>
      <c r="D23" s="24">
        <f>-Assumptions!$D$19</f>
        <v/>
      </c>
      <c r="E23" s="24">
        <f>-Assumptions!$E$19</f>
        <v/>
      </c>
      <c r="F23" s="24">
        <f>-Assumptions!$F$19</f>
        <v/>
      </c>
      <c r="G23" s="24">
        <f>-Assumptions!$G$19</f>
        <v/>
      </c>
      <c r="H23" s="24">
        <f>-Assumptions!$H$19</f>
        <v/>
      </c>
    </row>
    <row r="24">
      <c r="B24" s="4" t="inlineStr">
        <is>
          <t>Unlevered Free Cash Flow</t>
        </is>
      </c>
      <c r="C24" s="28">
        <f>C20+C21+C22+C23</f>
        <v/>
      </c>
      <c r="D24" s="28">
        <f>D20+D21+D22+D23</f>
        <v/>
      </c>
      <c r="E24" s="28">
        <f>E20+E21+E22+E23</f>
        <v/>
      </c>
      <c r="F24" s="28">
        <f>F20+F21+F22+F23</f>
        <v/>
      </c>
      <c r="G24" s="28">
        <f>G20+G21+G22+G23</f>
        <v/>
      </c>
      <c r="H24" s="28">
        <f>H20+H21+H22+H23</f>
        <v/>
      </c>
    </row>
  </sheetData>
  <mergeCells count="4">
    <mergeCell ref="B1:H1"/>
    <mergeCell ref="B3:H3"/>
    <mergeCell ref="B19:H19"/>
    <mergeCell ref="B11:H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H5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 customWidth="1" min="1" max="1"/>
    <col width="36" customWidth="1" min="2" max="2"/>
    <col width="14" customWidth="1" min="3" max="3"/>
    <col width="14" customWidth="1" min="4" max="4"/>
    <col width="14" customWidth="1" min="5" max="5"/>
    <col width="14" customWidth="1" min="6" max="6"/>
    <col width="14" customWidth="1" min="7" max="7"/>
    <col width="14" customWidth="1" min="8" max="8"/>
  </cols>
  <sheetData>
    <row r="1">
      <c r="B1" s="8" t="inlineStr">
        <is>
          <t>DCF + SEGMENT COMPS VALUATION  ($M)</t>
        </is>
      </c>
    </row>
    <row r="3">
      <c r="B3" s="8" t="inlineStr">
        <is>
          <t>WACC (FROM ASSUMPTIONS)</t>
        </is>
      </c>
    </row>
    <row r="4">
      <c r="B4" s="4" t="inlineStr">
        <is>
          <t>WACC — Base Case</t>
        </is>
      </c>
      <c r="C4" s="30">
        <f>Assumptions!$C$23</f>
        <v/>
      </c>
    </row>
    <row r="5">
      <c r="B5" s="12" t="inlineStr">
        <is>
          <t>WACC — Bull Case</t>
        </is>
      </c>
      <c r="C5" s="30">
        <f>Assumptions!$C$24</f>
        <v/>
      </c>
    </row>
    <row r="6">
      <c r="B6" s="12" t="inlineStr">
        <is>
          <t>WACC — Bear Case</t>
        </is>
      </c>
      <c r="C6" s="30">
        <f>Assumptions!$C$25</f>
        <v/>
      </c>
    </row>
    <row r="8">
      <c r="B8" s="8" t="inlineStr">
        <is>
          <t>PRESENT VALUE OF CASH FLOWS  (FY2027E–FY2031E)</t>
        </is>
      </c>
    </row>
    <row r="9">
      <c r="B9" s="12" t="inlineStr">
        <is>
          <t>Unlevered FCF  ($M)</t>
        </is>
      </c>
      <c r="D9" s="24">
        <f>'Operating Model'!$D$24</f>
        <v/>
      </c>
      <c r="E9" s="24">
        <f>'Operating Model'!$E$24</f>
        <v/>
      </c>
      <c r="F9" s="24">
        <f>'Operating Model'!$F$24</f>
        <v/>
      </c>
      <c r="G9" s="24">
        <f>'Operating Model'!$G$24</f>
        <v/>
      </c>
      <c r="H9" s="24">
        <f>'Operating Model'!$H$24</f>
        <v/>
      </c>
    </row>
    <row r="10">
      <c r="B10" s="12" t="inlineStr">
        <is>
          <t>Discount Period  (n)</t>
        </is>
      </c>
      <c r="D10" s="31">
        <f>1</f>
        <v/>
      </c>
      <c r="E10" s="31">
        <f>D10+1</f>
        <v/>
      </c>
      <c r="F10" s="31">
        <f>E10+1</f>
        <v/>
      </c>
      <c r="G10" s="31">
        <f>F10+1</f>
        <v/>
      </c>
      <c r="H10" s="31">
        <f>G10+1</f>
        <v/>
      </c>
    </row>
    <row r="11">
      <c r="B11" s="12" t="inlineStr">
        <is>
          <t>PV Factor  [1 / (1 + WACC_Base)ⁿ]</t>
        </is>
      </c>
      <c r="D11" s="32">
        <f>1/(1+Assumptions!$C$23)^D10</f>
        <v/>
      </c>
      <c r="E11" s="32">
        <f>1/(1+Assumptions!$C$23)^E10</f>
        <v/>
      </c>
      <c r="F11" s="32">
        <f>1/(1+Assumptions!$C$23)^F10</f>
        <v/>
      </c>
      <c r="G11" s="32">
        <f>1/(1+Assumptions!$C$23)^G10</f>
        <v/>
      </c>
      <c r="H11" s="32">
        <f>1/(1+Assumptions!$C$23)^H10</f>
        <v/>
      </c>
    </row>
    <row r="12">
      <c r="B12" s="4" t="inlineStr">
        <is>
          <t>PV of FCF</t>
        </is>
      </c>
      <c r="D12" s="29">
        <f>D9*D11</f>
        <v/>
      </c>
      <c r="E12" s="29">
        <f>E9*E11</f>
        <v/>
      </c>
      <c r="F12" s="29">
        <f>F9*F11</f>
        <v/>
      </c>
      <c r="G12" s="29">
        <f>G9*G11</f>
        <v/>
      </c>
      <c r="H12" s="29">
        <f>H9*H11</f>
        <v/>
      </c>
    </row>
    <row r="13">
      <c r="B13" s="4" t="inlineStr">
        <is>
          <t>Sum of PV FCFs</t>
        </is>
      </c>
      <c r="C13" s="28">
        <f>SUM(D12:H12)</f>
        <v/>
      </c>
    </row>
    <row r="15">
      <c r="B15" s="8" t="inlineStr">
        <is>
          <t>TERMINAL VALUE  (EV/EBITDA EXIT MULTIPLE)</t>
        </is>
      </c>
    </row>
    <row r="16">
      <c r="B16" s="12" t="inlineStr">
        <is>
          <t>Terminal Year EBITDA  (FY2031E, $M)</t>
        </is>
      </c>
      <c r="C16" s="24">
        <f>'Operating Model'!$H$12</f>
        <v/>
      </c>
    </row>
    <row r="17">
      <c r="B17" s="12" t="inlineStr">
        <is>
          <t>Exit EV/EBITDA Multiple  (Base)</t>
        </is>
      </c>
      <c r="C17" s="33">
        <f>Assumptions!$C$26</f>
        <v/>
      </c>
    </row>
    <row r="18">
      <c r="B18" s="4" t="inlineStr">
        <is>
          <t>Terminal Enterprise Value  ($M)</t>
        </is>
      </c>
      <c r="C18" s="28">
        <f>C16*C17</f>
        <v/>
      </c>
    </row>
    <row r="19">
      <c r="B19" s="4" t="inlineStr">
        <is>
          <t>PV of Terminal Value  ($M)</t>
        </is>
      </c>
      <c r="C19" s="28">
        <f>C18*H11</f>
        <v/>
      </c>
    </row>
    <row r="21">
      <c r="B21" s="8" t="inlineStr">
        <is>
          <t>EQUITY VALUE BRIDGE — DCF</t>
        </is>
      </c>
    </row>
    <row r="22">
      <c r="B22" s="12" t="inlineStr">
        <is>
          <t>Sum of PV FCFs  ($M)</t>
        </is>
      </c>
      <c r="C22" s="24">
        <f>C13</f>
        <v/>
      </c>
    </row>
    <row r="23">
      <c r="B23" s="12" t="inlineStr">
        <is>
          <t>(+) PV of Terminal Value  ($M)</t>
        </is>
      </c>
      <c r="C23" s="24">
        <f>C19</f>
        <v/>
      </c>
    </row>
    <row r="24">
      <c r="B24" s="4" t="inlineStr">
        <is>
          <t>Enterprise Value  ($M)</t>
        </is>
      </c>
      <c r="C24" s="28">
        <f>C22+C23</f>
        <v/>
      </c>
    </row>
    <row r="25">
      <c r="B25" s="12" t="inlineStr">
        <is>
          <t>(+) Cash &amp; Investments  ($M)</t>
        </is>
      </c>
      <c r="C25" s="24">
        <f>Assumptions!$C$41</f>
        <v/>
      </c>
    </row>
    <row r="26">
      <c r="B26" s="12" t="inlineStr">
        <is>
          <t>(–) Convertible Notes  ($M)</t>
        </is>
      </c>
      <c r="C26" s="24">
        <f>Assumptions!$C$44</f>
        <v/>
      </c>
    </row>
    <row r="27">
      <c r="B27" s="4" t="inlineStr">
        <is>
          <t>Equity Value  ($M)</t>
        </is>
      </c>
      <c r="C27" s="28">
        <f>C24+C25-C26</f>
        <v/>
      </c>
    </row>
    <row r="28">
      <c r="B28" s="12" t="inlineStr">
        <is>
          <t>(÷) Shares Outstanding  (M)</t>
        </is>
      </c>
      <c r="C28" s="24">
        <f>Assumptions!$C$42</f>
        <v/>
      </c>
    </row>
    <row r="29">
      <c r="B29" s="4" t="inlineStr">
        <is>
          <t>DCF Price Target  ($/share)</t>
        </is>
      </c>
      <c r="C29" s="34">
        <f>C27/C28</f>
        <v/>
      </c>
    </row>
    <row r="31">
      <c r="B31" s="8" t="inlineStr">
        <is>
          <t>SEGMENT COMPS  (FY2028E EV / REVENUE)</t>
        </is>
      </c>
    </row>
    <row r="32">
      <c r="B32" s="12" t="inlineStr">
        <is>
          <t>IoT / QNX Revenue  (FY2028E, $M)</t>
        </is>
      </c>
      <c r="C32" s="24">
        <f>'Operating Model'!$E$4</f>
        <v/>
      </c>
    </row>
    <row r="33">
      <c r="B33" s="12" t="inlineStr">
        <is>
          <t>× QNX EV/Revenue Multiple</t>
        </is>
      </c>
      <c r="C33" s="24">
        <f>C32*Assumptions!$C$29</f>
        <v/>
      </c>
    </row>
    <row r="34">
      <c r="B34" s="12" t="inlineStr">
        <is>
          <t>Cybersecurity Revenue  (FY2028E, $M)</t>
        </is>
      </c>
      <c r="C34" s="24">
        <f>'Operating Model'!$E$6</f>
        <v/>
      </c>
    </row>
    <row r="35">
      <c r="B35" s="12" t="inlineStr">
        <is>
          <t>× CySec EV/Revenue Multiple</t>
        </is>
      </c>
      <c r="C35" s="24">
        <f>C34*Assumptions!$C$30</f>
        <v/>
      </c>
    </row>
    <row r="36">
      <c r="B36" s="12" t="inlineStr">
        <is>
          <t>Segment EV — FY2028E basis  ($M)</t>
        </is>
      </c>
      <c r="C36" s="24">
        <f>C33+C35</f>
        <v/>
      </c>
    </row>
    <row r="37">
      <c r="B37" s="12" t="inlineStr">
        <is>
          <t>× Discount Factor  [1/(1+WACC)^years]</t>
        </is>
      </c>
      <c r="C37" s="35">
        <f>1/(1+Assumptions!$C$23)^Assumptions!$C$45</f>
        <v/>
      </c>
    </row>
    <row r="38">
      <c r="B38" s="4" t="inlineStr">
        <is>
          <t>Total Segment EV — Present Value  ($M)</t>
        </is>
      </c>
      <c r="C38" s="28">
        <f>C36*C37</f>
        <v/>
      </c>
    </row>
    <row r="39">
      <c r="B39" s="12" t="inlineStr">
        <is>
          <t>(+) Cash &amp; Investments  ($M)</t>
        </is>
      </c>
      <c r="C39" s="24">
        <f>Assumptions!$C$41</f>
        <v/>
      </c>
    </row>
    <row r="40">
      <c r="B40" s="12" t="inlineStr">
        <is>
          <t>(–) Convertible Notes  ($M)</t>
        </is>
      </c>
      <c r="C40" s="24">
        <f>Assumptions!$C$44</f>
        <v/>
      </c>
    </row>
    <row r="41">
      <c r="B41" s="4" t="inlineStr">
        <is>
          <t>Equity Value  ($M)</t>
        </is>
      </c>
      <c r="C41" s="28">
        <f>C38+C39-C40</f>
        <v/>
      </c>
    </row>
    <row r="42">
      <c r="B42" s="12" t="inlineStr">
        <is>
          <t>(÷) Shares Outstanding  (M)</t>
        </is>
      </c>
      <c r="C42" s="24">
        <f>Assumptions!$C$42</f>
        <v/>
      </c>
    </row>
    <row r="43">
      <c r="B43" s="4" t="inlineStr">
        <is>
          <t>Comps Price Target  ($/share)</t>
        </is>
      </c>
      <c r="C43" s="34">
        <f>C41/C42</f>
        <v/>
      </c>
    </row>
    <row r="45">
      <c r="B45" s="8" t="inlineStr">
        <is>
          <t>BLENDED PRICE TARGET</t>
        </is>
      </c>
    </row>
    <row r="46">
      <c r="B46" s="12" t="inlineStr">
        <is>
          <t>DCF Weight</t>
        </is>
      </c>
      <c r="C46" s="30">
        <f>Assumptions!$C$31</f>
        <v/>
      </c>
    </row>
    <row r="47">
      <c r="B47" s="12" t="inlineStr">
        <is>
          <t>Comps Weight</t>
        </is>
      </c>
      <c r="C47" s="30">
        <f>Assumptions!$C$32</f>
        <v/>
      </c>
    </row>
    <row r="48">
      <c r="B48" s="4" t="inlineStr">
        <is>
          <t>★  BLENDED PRICE TARGET  ($/share)</t>
        </is>
      </c>
      <c r="C48" s="34">
        <f>C46*C29+C47*C43</f>
        <v/>
      </c>
    </row>
    <row r="49">
      <c r="B49" s="12" t="inlineStr">
        <is>
          <t>Current Stock Price</t>
        </is>
      </c>
      <c r="C49" s="36">
        <f>Assumptions!$C$43</f>
        <v/>
      </c>
    </row>
    <row r="50">
      <c r="B50" s="4" t="inlineStr">
        <is>
          <t>Upside / (Downside)</t>
        </is>
      </c>
      <c r="C50" s="37">
        <f>(C48-C49)/C49</f>
        <v/>
      </c>
    </row>
    <row r="51">
      <c r="B51" s="4" t="inlineStr">
        <is>
          <t>★  RATING</t>
        </is>
      </c>
      <c r="C51" s="38">
        <f>IF(C50&gt;=Assumptions!$C$53,"OVERWEIGHT",IF(C50&lt;=Assumptions!$C$54,"UNDERWEIGHT","EQUAL-WEIGHT"))</f>
        <v/>
      </c>
    </row>
  </sheetData>
  <mergeCells count="7">
    <mergeCell ref="B31:E31"/>
    <mergeCell ref="B8:H8"/>
    <mergeCell ref="B45:E45"/>
    <mergeCell ref="B1:H1"/>
    <mergeCell ref="B21:E21"/>
    <mergeCell ref="B15:E15"/>
    <mergeCell ref="B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K3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2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B1" s="8" t="inlineStr">
        <is>
          <t>SENSITIVITY ANALYSIS</t>
        </is>
      </c>
    </row>
    <row r="3">
      <c r="B3" s="8" t="inlineStr">
        <is>
          <t>IMPLIED PRICE TARGET  —  WACC vs. Exit EV/EBITDA Multiple  (FY2031E EBITDA)</t>
        </is>
      </c>
    </row>
    <row r="4" ht="18" customHeight="1">
      <c r="B4" s="39" t="inlineStr">
        <is>
          <t>WACC ↓ | Exit Mult →</t>
        </is>
      </c>
      <c r="C4" s="40">
        <f>Assumptions!$C$26+(-3)*Assumptions!$C$51</f>
        <v/>
      </c>
      <c r="D4" s="40">
        <f>Assumptions!$C$26+(-2)*Assumptions!$C$51</f>
        <v/>
      </c>
      <c r="E4" s="40">
        <f>Assumptions!$C$26+(-1)*Assumptions!$C$51</f>
        <v/>
      </c>
      <c r="F4" s="40">
        <f>Assumptions!$C$26+(0)*Assumptions!$C$51</f>
        <v/>
      </c>
      <c r="G4" s="40">
        <f>Assumptions!$C$26+(1)*Assumptions!$C$51</f>
        <v/>
      </c>
      <c r="H4" s="40">
        <f>Assumptions!$C$26+(2)*Assumptions!$C$51</f>
        <v/>
      </c>
      <c r="I4" s="40">
        <f>Assumptions!$C$26+(3)*Assumptions!$C$51</f>
        <v/>
      </c>
      <c r="J4" s="40">
        <f>Assumptions!$C$26+(4)*Assumptions!$C$51</f>
        <v/>
      </c>
    </row>
    <row r="5" ht="16" customHeight="1">
      <c r="B5" s="22">
        <f>Assumptions!$C$23+(-3)*Assumptions!$C$50</f>
        <v/>
      </c>
      <c r="C5" s="13">
        <f>('Operating Model'!$D$24/(1+$B5)^1+'Operating Model'!$E$24/(1+$B5)^2+'Operating Model'!$F$24/(1+$B5)^3+'Operating Model'!$G$24/(1+$B5)^4+'Operating Model'!$H$24/(1+$B5)^5+'Operating Model'!$H$12*C$4/(1+$B5)^5+Assumptions!$C$41-Assumptions!$C$44)/Assumptions!$C$42</f>
        <v/>
      </c>
      <c r="D5" s="13">
        <f>('Operating Model'!$D$24/(1+$B5)^1+'Operating Model'!$E$24/(1+$B5)^2+'Operating Model'!$F$24/(1+$B5)^3+'Operating Model'!$G$24/(1+$B5)^4+'Operating Model'!$H$24/(1+$B5)^5+'Operating Model'!$H$12*D$4/(1+$B5)^5+Assumptions!$C$41-Assumptions!$C$44)/Assumptions!$C$42</f>
        <v/>
      </c>
      <c r="E5" s="13">
        <f>('Operating Model'!$D$24/(1+$B5)^1+'Operating Model'!$E$24/(1+$B5)^2+'Operating Model'!$F$24/(1+$B5)^3+'Operating Model'!$G$24/(1+$B5)^4+'Operating Model'!$H$24/(1+$B5)^5+'Operating Model'!$H$12*E$4/(1+$B5)^5+Assumptions!$C$41-Assumptions!$C$44)/Assumptions!$C$42</f>
        <v/>
      </c>
      <c r="F5" s="13">
        <f>('Operating Model'!$D$24/(1+$B5)^1+'Operating Model'!$E$24/(1+$B5)^2+'Operating Model'!$F$24/(1+$B5)^3+'Operating Model'!$G$24/(1+$B5)^4+'Operating Model'!$H$24/(1+$B5)^5+'Operating Model'!$H$12*F$4/(1+$B5)^5+Assumptions!$C$41-Assumptions!$C$44)/Assumptions!$C$42</f>
        <v/>
      </c>
      <c r="G5" s="13">
        <f>('Operating Model'!$D$24/(1+$B5)^1+'Operating Model'!$E$24/(1+$B5)^2+'Operating Model'!$F$24/(1+$B5)^3+'Operating Model'!$G$24/(1+$B5)^4+'Operating Model'!$H$24/(1+$B5)^5+'Operating Model'!$H$12*G$4/(1+$B5)^5+Assumptions!$C$41-Assumptions!$C$44)/Assumptions!$C$42</f>
        <v/>
      </c>
      <c r="H5" s="13">
        <f>('Operating Model'!$D$24/(1+$B5)^1+'Operating Model'!$E$24/(1+$B5)^2+'Operating Model'!$F$24/(1+$B5)^3+'Operating Model'!$G$24/(1+$B5)^4+'Operating Model'!$H$24/(1+$B5)^5+'Operating Model'!$H$12*H$4/(1+$B5)^5+Assumptions!$C$41-Assumptions!$C$44)/Assumptions!$C$42</f>
        <v/>
      </c>
      <c r="I5" s="13">
        <f>('Operating Model'!$D$24/(1+$B5)^1+'Operating Model'!$E$24/(1+$B5)^2+'Operating Model'!$F$24/(1+$B5)^3+'Operating Model'!$G$24/(1+$B5)^4+'Operating Model'!$H$24/(1+$B5)^5+'Operating Model'!$H$12*I$4/(1+$B5)^5+Assumptions!$C$41-Assumptions!$C$44)/Assumptions!$C$42</f>
        <v/>
      </c>
      <c r="J5" s="13">
        <f>('Operating Model'!$D$24/(1+$B5)^1+'Operating Model'!$E$24/(1+$B5)^2+'Operating Model'!$F$24/(1+$B5)^3+'Operating Model'!$G$24/(1+$B5)^4+'Operating Model'!$H$24/(1+$B5)^5+'Operating Model'!$H$12*J$4/(1+$B5)^5+Assumptions!$C$41-Assumptions!$C$44)/Assumptions!$C$42</f>
        <v/>
      </c>
    </row>
    <row r="6" ht="16" customHeight="1">
      <c r="B6" s="22">
        <f>Assumptions!$C$23+(-2)*Assumptions!$C$50</f>
        <v/>
      </c>
      <c r="C6" s="13">
        <f>('Operating Model'!$D$24/(1+$B6)^1+'Operating Model'!$E$24/(1+$B6)^2+'Operating Model'!$F$24/(1+$B6)^3+'Operating Model'!$G$24/(1+$B6)^4+'Operating Model'!$H$24/(1+$B6)^5+'Operating Model'!$H$12*C$4/(1+$B6)^5+Assumptions!$C$41-Assumptions!$C$44)/Assumptions!$C$42</f>
        <v/>
      </c>
      <c r="D6" s="13">
        <f>('Operating Model'!$D$24/(1+$B6)^1+'Operating Model'!$E$24/(1+$B6)^2+'Operating Model'!$F$24/(1+$B6)^3+'Operating Model'!$G$24/(1+$B6)^4+'Operating Model'!$H$24/(1+$B6)^5+'Operating Model'!$H$12*D$4/(1+$B6)^5+Assumptions!$C$41-Assumptions!$C$44)/Assumptions!$C$42</f>
        <v/>
      </c>
      <c r="E6" s="13">
        <f>('Operating Model'!$D$24/(1+$B6)^1+'Operating Model'!$E$24/(1+$B6)^2+'Operating Model'!$F$24/(1+$B6)^3+'Operating Model'!$G$24/(1+$B6)^4+'Operating Model'!$H$24/(1+$B6)^5+'Operating Model'!$H$12*E$4/(1+$B6)^5+Assumptions!$C$41-Assumptions!$C$44)/Assumptions!$C$42</f>
        <v/>
      </c>
      <c r="F6" s="13">
        <f>('Operating Model'!$D$24/(1+$B6)^1+'Operating Model'!$E$24/(1+$B6)^2+'Operating Model'!$F$24/(1+$B6)^3+'Operating Model'!$G$24/(1+$B6)^4+'Operating Model'!$H$24/(1+$B6)^5+'Operating Model'!$H$12*F$4/(1+$B6)^5+Assumptions!$C$41-Assumptions!$C$44)/Assumptions!$C$42</f>
        <v/>
      </c>
      <c r="G6" s="13">
        <f>('Operating Model'!$D$24/(1+$B6)^1+'Operating Model'!$E$24/(1+$B6)^2+'Operating Model'!$F$24/(1+$B6)^3+'Operating Model'!$G$24/(1+$B6)^4+'Operating Model'!$H$24/(1+$B6)^5+'Operating Model'!$H$12*G$4/(1+$B6)^5+Assumptions!$C$41-Assumptions!$C$44)/Assumptions!$C$42</f>
        <v/>
      </c>
      <c r="H6" s="13">
        <f>('Operating Model'!$D$24/(1+$B6)^1+'Operating Model'!$E$24/(1+$B6)^2+'Operating Model'!$F$24/(1+$B6)^3+'Operating Model'!$G$24/(1+$B6)^4+'Operating Model'!$H$24/(1+$B6)^5+'Operating Model'!$H$12*H$4/(1+$B6)^5+Assumptions!$C$41-Assumptions!$C$44)/Assumptions!$C$42</f>
        <v/>
      </c>
      <c r="I6" s="13">
        <f>('Operating Model'!$D$24/(1+$B6)^1+'Operating Model'!$E$24/(1+$B6)^2+'Operating Model'!$F$24/(1+$B6)^3+'Operating Model'!$G$24/(1+$B6)^4+'Operating Model'!$H$24/(1+$B6)^5+'Operating Model'!$H$12*I$4/(1+$B6)^5+Assumptions!$C$41-Assumptions!$C$44)/Assumptions!$C$42</f>
        <v/>
      </c>
      <c r="J6" s="13">
        <f>('Operating Model'!$D$24/(1+$B6)^1+'Operating Model'!$E$24/(1+$B6)^2+'Operating Model'!$F$24/(1+$B6)^3+'Operating Model'!$G$24/(1+$B6)^4+'Operating Model'!$H$24/(1+$B6)^5+'Operating Model'!$H$12*J$4/(1+$B6)^5+Assumptions!$C$41-Assumptions!$C$44)/Assumptions!$C$42</f>
        <v/>
      </c>
    </row>
    <row r="7" ht="16" customHeight="1">
      <c r="B7" s="22">
        <f>Assumptions!$C$23+(-1)*Assumptions!$C$50</f>
        <v/>
      </c>
      <c r="C7" s="13">
        <f>('Operating Model'!$D$24/(1+$B7)^1+'Operating Model'!$E$24/(1+$B7)^2+'Operating Model'!$F$24/(1+$B7)^3+'Operating Model'!$G$24/(1+$B7)^4+'Operating Model'!$H$24/(1+$B7)^5+'Operating Model'!$H$12*C$4/(1+$B7)^5+Assumptions!$C$41-Assumptions!$C$44)/Assumptions!$C$42</f>
        <v/>
      </c>
      <c r="D7" s="13">
        <f>('Operating Model'!$D$24/(1+$B7)^1+'Operating Model'!$E$24/(1+$B7)^2+'Operating Model'!$F$24/(1+$B7)^3+'Operating Model'!$G$24/(1+$B7)^4+'Operating Model'!$H$24/(1+$B7)^5+'Operating Model'!$H$12*D$4/(1+$B7)^5+Assumptions!$C$41-Assumptions!$C$44)/Assumptions!$C$42</f>
        <v/>
      </c>
      <c r="E7" s="13">
        <f>('Operating Model'!$D$24/(1+$B7)^1+'Operating Model'!$E$24/(1+$B7)^2+'Operating Model'!$F$24/(1+$B7)^3+'Operating Model'!$G$24/(1+$B7)^4+'Operating Model'!$H$24/(1+$B7)^5+'Operating Model'!$H$12*E$4/(1+$B7)^5+Assumptions!$C$41-Assumptions!$C$44)/Assumptions!$C$42</f>
        <v/>
      </c>
      <c r="F7" s="13">
        <f>('Operating Model'!$D$24/(1+$B7)^1+'Operating Model'!$E$24/(1+$B7)^2+'Operating Model'!$F$24/(1+$B7)^3+'Operating Model'!$G$24/(1+$B7)^4+'Operating Model'!$H$24/(1+$B7)^5+'Operating Model'!$H$12*F$4/(1+$B7)^5+Assumptions!$C$41-Assumptions!$C$44)/Assumptions!$C$42</f>
        <v/>
      </c>
      <c r="G7" s="13">
        <f>('Operating Model'!$D$24/(1+$B7)^1+'Operating Model'!$E$24/(1+$B7)^2+'Operating Model'!$F$24/(1+$B7)^3+'Operating Model'!$G$24/(1+$B7)^4+'Operating Model'!$H$24/(1+$B7)^5+'Operating Model'!$H$12*G$4/(1+$B7)^5+Assumptions!$C$41-Assumptions!$C$44)/Assumptions!$C$42</f>
        <v/>
      </c>
      <c r="H7" s="13">
        <f>('Operating Model'!$D$24/(1+$B7)^1+'Operating Model'!$E$24/(1+$B7)^2+'Operating Model'!$F$24/(1+$B7)^3+'Operating Model'!$G$24/(1+$B7)^4+'Operating Model'!$H$24/(1+$B7)^5+'Operating Model'!$H$12*H$4/(1+$B7)^5+Assumptions!$C$41-Assumptions!$C$44)/Assumptions!$C$42</f>
        <v/>
      </c>
      <c r="I7" s="13">
        <f>('Operating Model'!$D$24/(1+$B7)^1+'Operating Model'!$E$24/(1+$B7)^2+'Operating Model'!$F$24/(1+$B7)^3+'Operating Model'!$G$24/(1+$B7)^4+'Operating Model'!$H$24/(1+$B7)^5+'Operating Model'!$H$12*I$4/(1+$B7)^5+Assumptions!$C$41-Assumptions!$C$44)/Assumptions!$C$42</f>
        <v/>
      </c>
      <c r="J7" s="13">
        <f>('Operating Model'!$D$24/(1+$B7)^1+'Operating Model'!$E$24/(1+$B7)^2+'Operating Model'!$F$24/(1+$B7)^3+'Operating Model'!$G$24/(1+$B7)^4+'Operating Model'!$H$24/(1+$B7)^5+'Operating Model'!$H$12*J$4/(1+$B7)^5+Assumptions!$C$41-Assumptions!$C$44)/Assumptions!$C$42</f>
        <v/>
      </c>
    </row>
    <row r="8" ht="16" customHeight="1">
      <c r="B8" s="22">
        <f>Assumptions!$C$23+(0)*Assumptions!$C$50</f>
        <v/>
      </c>
      <c r="C8" s="13">
        <f>('Operating Model'!$D$24/(1+$B8)^1+'Operating Model'!$E$24/(1+$B8)^2+'Operating Model'!$F$24/(1+$B8)^3+'Operating Model'!$G$24/(1+$B8)^4+'Operating Model'!$H$24/(1+$B8)^5+'Operating Model'!$H$12*C$4/(1+$B8)^5+Assumptions!$C$41-Assumptions!$C$44)/Assumptions!$C$42</f>
        <v/>
      </c>
      <c r="D8" s="13">
        <f>('Operating Model'!$D$24/(1+$B8)^1+'Operating Model'!$E$24/(1+$B8)^2+'Operating Model'!$F$24/(1+$B8)^3+'Operating Model'!$G$24/(1+$B8)^4+'Operating Model'!$H$24/(1+$B8)^5+'Operating Model'!$H$12*D$4/(1+$B8)^5+Assumptions!$C$41-Assumptions!$C$44)/Assumptions!$C$42</f>
        <v/>
      </c>
      <c r="E8" s="13">
        <f>('Operating Model'!$D$24/(1+$B8)^1+'Operating Model'!$E$24/(1+$B8)^2+'Operating Model'!$F$24/(1+$B8)^3+'Operating Model'!$G$24/(1+$B8)^4+'Operating Model'!$H$24/(1+$B8)^5+'Operating Model'!$H$12*E$4/(1+$B8)^5+Assumptions!$C$41-Assumptions!$C$44)/Assumptions!$C$42</f>
        <v/>
      </c>
      <c r="F8" s="13">
        <f>('Operating Model'!$D$24/(1+$B8)^1+'Operating Model'!$E$24/(1+$B8)^2+'Operating Model'!$F$24/(1+$B8)^3+'Operating Model'!$G$24/(1+$B8)^4+'Operating Model'!$H$24/(1+$B8)^5+'Operating Model'!$H$12*F$4/(1+$B8)^5+Assumptions!$C$41-Assumptions!$C$44)/Assumptions!$C$42</f>
        <v/>
      </c>
      <c r="G8" s="13">
        <f>('Operating Model'!$D$24/(1+$B8)^1+'Operating Model'!$E$24/(1+$B8)^2+'Operating Model'!$F$24/(1+$B8)^3+'Operating Model'!$G$24/(1+$B8)^4+'Operating Model'!$H$24/(1+$B8)^5+'Operating Model'!$H$12*G$4/(1+$B8)^5+Assumptions!$C$41-Assumptions!$C$44)/Assumptions!$C$42</f>
        <v/>
      </c>
      <c r="H8" s="13">
        <f>('Operating Model'!$D$24/(1+$B8)^1+'Operating Model'!$E$24/(1+$B8)^2+'Operating Model'!$F$24/(1+$B8)^3+'Operating Model'!$G$24/(1+$B8)^4+'Operating Model'!$H$24/(1+$B8)^5+'Operating Model'!$H$12*H$4/(1+$B8)^5+Assumptions!$C$41-Assumptions!$C$44)/Assumptions!$C$42</f>
        <v/>
      </c>
      <c r="I8" s="13">
        <f>('Operating Model'!$D$24/(1+$B8)^1+'Operating Model'!$E$24/(1+$B8)^2+'Operating Model'!$F$24/(1+$B8)^3+'Operating Model'!$G$24/(1+$B8)^4+'Operating Model'!$H$24/(1+$B8)^5+'Operating Model'!$H$12*I$4/(1+$B8)^5+Assumptions!$C$41-Assumptions!$C$44)/Assumptions!$C$42</f>
        <v/>
      </c>
      <c r="J8" s="13">
        <f>('Operating Model'!$D$24/(1+$B8)^1+'Operating Model'!$E$24/(1+$B8)^2+'Operating Model'!$F$24/(1+$B8)^3+'Operating Model'!$G$24/(1+$B8)^4+'Operating Model'!$H$24/(1+$B8)^5+'Operating Model'!$H$12*J$4/(1+$B8)^5+Assumptions!$C$41-Assumptions!$C$44)/Assumptions!$C$42</f>
        <v/>
      </c>
    </row>
    <row r="9" ht="16" customHeight="1">
      <c r="B9" s="22">
        <f>Assumptions!$C$23+(1)*Assumptions!$C$50</f>
        <v/>
      </c>
      <c r="C9" s="13">
        <f>('Operating Model'!$D$24/(1+$B9)^1+'Operating Model'!$E$24/(1+$B9)^2+'Operating Model'!$F$24/(1+$B9)^3+'Operating Model'!$G$24/(1+$B9)^4+'Operating Model'!$H$24/(1+$B9)^5+'Operating Model'!$H$12*C$4/(1+$B9)^5+Assumptions!$C$41-Assumptions!$C$44)/Assumptions!$C$42</f>
        <v/>
      </c>
      <c r="D9" s="13">
        <f>('Operating Model'!$D$24/(1+$B9)^1+'Operating Model'!$E$24/(1+$B9)^2+'Operating Model'!$F$24/(1+$B9)^3+'Operating Model'!$G$24/(1+$B9)^4+'Operating Model'!$H$24/(1+$B9)^5+'Operating Model'!$H$12*D$4/(1+$B9)^5+Assumptions!$C$41-Assumptions!$C$44)/Assumptions!$C$42</f>
        <v/>
      </c>
      <c r="E9" s="13">
        <f>('Operating Model'!$D$24/(1+$B9)^1+'Operating Model'!$E$24/(1+$B9)^2+'Operating Model'!$F$24/(1+$B9)^3+'Operating Model'!$G$24/(1+$B9)^4+'Operating Model'!$H$24/(1+$B9)^5+'Operating Model'!$H$12*E$4/(1+$B9)^5+Assumptions!$C$41-Assumptions!$C$44)/Assumptions!$C$42</f>
        <v/>
      </c>
      <c r="F9" s="13">
        <f>('Operating Model'!$D$24/(1+$B9)^1+'Operating Model'!$E$24/(1+$B9)^2+'Operating Model'!$F$24/(1+$B9)^3+'Operating Model'!$G$24/(1+$B9)^4+'Operating Model'!$H$24/(1+$B9)^5+'Operating Model'!$H$12*F$4/(1+$B9)^5+Assumptions!$C$41-Assumptions!$C$44)/Assumptions!$C$42</f>
        <v/>
      </c>
      <c r="G9" s="13">
        <f>('Operating Model'!$D$24/(1+$B9)^1+'Operating Model'!$E$24/(1+$B9)^2+'Operating Model'!$F$24/(1+$B9)^3+'Operating Model'!$G$24/(1+$B9)^4+'Operating Model'!$H$24/(1+$B9)^5+'Operating Model'!$H$12*G$4/(1+$B9)^5+Assumptions!$C$41-Assumptions!$C$44)/Assumptions!$C$42</f>
        <v/>
      </c>
      <c r="H9" s="13">
        <f>('Operating Model'!$D$24/(1+$B9)^1+'Operating Model'!$E$24/(1+$B9)^2+'Operating Model'!$F$24/(1+$B9)^3+'Operating Model'!$G$24/(1+$B9)^4+'Operating Model'!$H$24/(1+$B9)^5+'Operating Model'!$H$12*H$4/(1+$B9)^5+Assumptions!$C$41-Assumptions!$C$44)/Assumptions!$C$42</f>
        <v/>
      </c>
      <c r="I9" s="13">
        <f>('Operating Model'!$D$24/(1+$B9)^1+'Operating Model'!$E$24/(1+$B9)^2+'Operating Model'!$F$24/(1+$B9)^3+'Operating Model'!$G$24/(1+$B9)^4+'Operating Model'!$H$24/(1+$B9)^5+'Operating Model'!$H$12*I$4/(1+$B9)^5+Assumptions!$C$41-Assumptions!$C$44)/Assumptions!$C$42</f>
        <v/>
      </c>
      <c r="J9" s="13">
        <f>('Operating Model'!$D$24/(1+$B9)^1+'Operating Model'!$E$24/(1+$B9)^2+'Operating Model'!$F$24/(1+$B9)^3+'Operating Model'!$G$24/(1+$B9)^4+'Operating Model'!$H$24/(1+$B9)^5+'Operating Model'!$H$12*J$4/(1+$B9)^5+Assumptions!$C$41-Assumptions!$C$44)/Assumptions!$C$42</f>
        <v/>
      </c>
    </row>
    <row r="10" ht="16" customHeight="1">
      <c r="B10" s="22">
        <f>Assumptions!$C$23+(2)*Assumptions!$C$50</f>
        <v/>
      </c>
      <c r="C10" s="13">
        <f>('Operating Model'!$D$24/(1+$B10)^1+'Operating Model'!$E$24/(1+$B10)^2+'Operating Model'!$F$24/(1+$B10)^3+'Operating Model'!$G$24/(1+$B10)^4+'Operating Model'!$H$24/(1+$B10)^5+'Operating Model'!$H$12*C$4/(1+$B10)^5+Assumptions!$C$41-Assumptions!$C$44)/Assumptions!$C$42</f>
        <v/>
      </c>
      <c r="D10" s="13">
        <f>('Operating Model'!$D$24/(1+$B10)^1+'Operating Model'!$E$24/(1+$B10)^2+'Operating Model'!$F$24/(1+$B10)^3+'Operating Model'!$G$24/(1+$B10)^4+'Operating Model'!$H$24/(1+$B10)^5+'Operating Model'!$H$12*D$4/(1+$B10)^5+Assumptions!$C$41-Assumptions!$C$44)/Assumptions!$C$42</f>
        <v/>
      </c>
      <c r="E10" s="13">
        <f>('Operating Model'!$D$24/(1+$B10)^1+'Operating Model'!$E$24/(1+$B10)^2+'Operating Model'!$F$24/(1+$B10)^3+'Operating Model'!$G$24/(1+$B10)^4+'Operating Model'!$H$24/(1+$B10)^5+'Operating Model'!$H$12*E$4/(1+$B10)^5+Assumptions!$C$41-Assumptions!$C$44)/Assumptions!$C$42</f>
        <v/>
      </c>
      <c r="F10" s="13">
        <f>('Operating Model'!$D$24/(1+$B10)^1+'Operating Model'!$E$24/(1+$B10)^2+'Operating Model'!$F$24/(1+$B10)^3+'Operating Model'!$G$24/(1+$B10)^4+'Operating Model'!$H$24/(1+$B10)^5+'Operating Model'!$H$12*F$4/(1+$B10)^5+Assumptions!$C$41-Assumptions!$C$44)/Assumptions!$C$42</f>
        <v/>
      </c>
      <c r="G10" s="13">
        <f>('Operating Model'!$D$24/(1+$B10)^1+'Operating Model'!$E$24/(1+$B10)^2+'Operating Model'!$F$24/(1+$B10)^3+'Operating Model'!$G$24/(1+$B10)^4+'Operating Model'!$H$24/(1+$B10)^5+'Operating Model'!$H$12*G$4/(1+$B10)^5+Assumptions!$C$41-Assumptions!$C$44)/Assumptions!$C$42</f>
        <v/>
      </c>
      <c r="H10" s="13">
        <f>('Operating Model'!$D$24/(1+$B10)^1+'Operating Model'!$E$24/(1+$B10)^2+'Operating Model'!$F$24/(1+$B10)^3+'Operating Model'!$G$24/(1+$B10)^4+'Operating Model'!$H$24/(1+$B10)^5+'Operating Model'!$H$12*H$4/(1+$B10)^5+Assumptions!$C$41-Assumptions!$C$44)/Assumptions!$C$42</f>
        <v/>
      </c>
      <c r="I10" s="13">
        <f>('Operating Model'!$D$24/(1+$B10)^1+'Operating Model'!$E$24/(1+$B10)^2+'Operating Model'!$F$24/(1+$B10)^3+'Operating Model'!$G$24/(1+$B10)^4+'Operating Model'!$H$24/(1+$B10)^5+'Operating Model'!$H$12*I$4/(1+$B10)^5+Assumptions!$C$41-Assumptions!$C$44)/Assumptions!$C$42</f>
        <v/>
      </c>
      <c r="J10" s="13">
        <f>('Operating Model'!$D$24/(1+$B10)^1+'Operating Model'!$E$24/(1+$B10)^2+'Operating Model'!$F$24/(1+$B10)^3+'Operating Model'!$G$24/(1+$B10)^4+'Operating Model'!$H$24/(1+$B10)^5+'Operating Model'!$H$12*J$4/(1+$B10)^5+Assumptions!$C$41-Assumptions!$C$44)/Assumptions!$C$42</f>
        <v/>
      </c>
    </row>
    <row r="11" ht="16" customHeight="1">
      <c r="B11" s="22">
        <f>Assumptions!$C$23+(3)*Assumptions!$C$50</f>
        <v/>
      </c>
      <c r="C11" s="13">
        <f>('Operating Model'!$D$24/(1+$B11)^1+'Operating Model'!$E$24/(1+$B11)^2+'Operating Model'!$F$24/(1+$B11)^3+'Operating Model'!$G$24/(1+$B11)^4+'Operating Model'!$H$24/(1+$B11)^5+'Operating Model'!$H$12*C$4/(1+$B11)^5+Assumptions!$C$41-Assumptions!$C$44)/Assumptions!$C$42</f>
        <v/>
      </c>
      <c r="D11" s="13">
        <f>('Operating Model'!$D$24/(1+$B11)^1+'Operating Model'!$E$24/(1+$B11)^2+'Operating Model'!$F$24/(1+$B11)^3+'Operating Model'!$G$24/(1+$B11)^4+'Operating Model'!$H$24/(1+$B11)^5+'Operating Model'!$H$12*D$4/(1+$B11)^5+Assumptions!$C$41-Assumptions!$C$44)/Assumptions!$C$42</f>
        <v/>
      </c>
      <c r="E11" s="13">
        <f>('Operating Model'!$D$24/(1+$B11)^1+'Operating Model'!$E$24/(1+$B11)^2+'Operating Model'!$F$24/(1+$B11)^3+'Operating Model'!$G$24/(1+$B11)^4+'Operating Model'!$H$24/(1+$B11)^5+'Operating Model'!$H$12*E$4/(1+$B11)^5+Assumptions!$C$41-Assumptions!$C$44)/Assumptions!$C$42</f>
        <v/>
      </c>
      <c r="F11" s="13">
        <f>('Operating Model'!$D$24/(1+$B11)^1+'Operating Model'!$E$24/(1+$B11)^2+'Operating Model'!$F$24/(1+$B11)^3+'Operating Model'!$G$24/(1+$B11)^4+'Operating Model'!$H$24/(1+$B11)^5+'Operating Model'!$H$12*F$4/(1+$B11)^5+Assumptions!$C$41-Assumptions!$C$44)/Assumptions!$C$42</f>
        <v/>
      </c>
      <c r="G11" s="13">
        <f>('Operating Model'!$D$24/(1+$B11)^1+'Operating Model'!$E$24/(1+$B11)^2+'Operating Model'!$F$24/(1+$B11)^3+'Operating Model'!$G$24/(1+$B11)^4+'Operating Model'!$H$24/(1+$B11)^5+'Operating Model'!$H$12*G$4/(1+$B11)^5+Assumptions!$C$41-Assumptions!$C$44)/Assumptions!$C$42</f>
        <v/>
      </c>
      <c r="H11" s="13">
        <f>('Operating Model'!$D$24/(1+$B11)^1+'Operating Model'!$E$24/(1+$B11)^2+'Operating Model'!$F$24/(1+$B11)^3+'Operating Model'!$G$24/(1+$B11)^4+'Operating Model'!$H$24/(1+$B11)^5+'Operating Model'!$H$12*H$4/(1+$B11)^5+Assumptions!$C$41-Assumptions!$C$44)/Assumptions!$C$42</f>
        <v/>
      </c>
      <c r="I11" s="13">
        <f>('Operating Model'!$D$24/(1+$B11)^1+'Operating Model'!$E$24/(1+$B11)^2+'Operating Model'!$F$24/(1+$B11)^3+'Operating Model'!$G$24/(1+$B11)^4+'Operating Model'!$H$24/(1+$B11)^5+'Operating Model'!$H$12*I$4/(1+$B11)^5+Assumptions!$C$41-Assumptions!$C$44)/Assumptions!$C$42</f>
        <v/>
      </c>
      <c r="J11" s="13">
        <f>('Operating Model'!$D$24/(1+$B11)^1+'Operating Model'!$E$24/(1+$B11)^2+'Operating Model'!$F$24/(1+$B11)^3+'Operating Model'!$G$24/(1+$B11)^4+'Operating Model'!$H$24/(1+$B11)^5+'Operating Model'!$H$12*J$4/(1+$B11)^5+Assumptions!$C$41-Assumptions!$C$44)/Assumptions!$C$42</f>
        <v/>
      </c>
    </row>
    <row r="12" ht="16" customHeight="1">
      <c r="B12" s="22">
        <f>Assumptions!$C$23+(4)*Assumptions!$C$50</f>
        <v/>
      </c>
      <c r="C12" s="13">
        <f>('Operating Model'!$D$24/(1+$B12)^1+'Operating Model'!$E$24/(1+$B12)^2+'Operating Model'!$F$24/(1+$B12)^3+'Operating Model'!$G$24/(1+$B12)^4+'Operating Model'!$H$24/(1+$B12)^5+'Operating Model'!$H$12*C$4/(1+$B12)^5+Assumptions!$C$41-Assumptions!$C$44)/Assumptions!$C$42</f>
        <v/>
      </c>
      <c r="D12" s="13">
        <f>('Operating Model'!$D$24/(1+$B12)^1+'Operating Model'!$E$24/(1+$B12)^2+'Operating Model'!$F$24/(1+$B12)^3+'Operating Model'!$G$24/(1+$B12)^4+'Operating Model'!$H$24/(1+$B12)^5+'Operating Model'!$H$12*D$4/(1+$B12)^5+Assumptions!$C$41-Assumptions!$C$44)/Assumptions!$C$42</f>
        <v/>
      </c>
      <c r="E12" s="13">
        <f>('Operating Model'!$D$24/(1+$B12)^1+'Operating Model'!$E$24/(1+$B12)^2+'Operating Model'!$F$24/(1+$B12)^3+'Operating Model'!$G$24/(1+$B12)^4+'Operating Model'!$H$24/(1+$B12)^5+'Operating Model'!$H$12*E$4/(1+$B12)^5+Assumptions!$C$41-Assumptions!$C$44)/Assumptions!$C$42</f>
        <v/>
      </c>
      <c r="F12" s="13">
        <f>('Operating Model'!$D$24/(1+$B12)^1+'Operating Model'!$E$24/(1+$B12)^2+'Operating Model'!$F$24/(1+$B12)^3+'Operating Model'!$G$24/(1+$B12)^4+'Operating Model'!$H$24/(1+$B12)^5+'Operating Model'!$H$12*F$4/(1+$B12)^5+Assumptions!$C$41-Assumptions!$C$44)/Assumptions!$C$42</f>
        <v/>
      </c>
      <c r="G12" s="13">
        <f>('Operating Model'!$D$24/(1+$B12)^1+'Operating Model'!$E$24/(1+$B12)^2+'Operating Model'!$F$24/(1+$B12)^3+'Operating Model'!$G$24/(1+$B12)^4+'Operating Model'!$H$24/(1+$B12)^5+'Operating Model'!$H$12*G$4/(1+$B12)^5+Assumptions!$C$41-Assumptions!$C$44)/Assumptions!$C$42</f>
        <v/>
      </c>
      <c r="H12" s="13">
        <f>('Operating Model'!$D$24/(1+$B12)^1+'Operating Model'!$E$24/(1+$B12)^2+'Operating Model'!$F$24/(1+$B12)^3+'Operating Model'!$G$24/(1+$B12)^4+'Operating Model'!$H$24/(1+$B12)^5+'Operating Model'!$H$12*H$4/(1+$B12)^5+Assumptions!$C$41-Assumptions!$C$44)/Assumptions!$C$42</f>
        <v/>
      </c>
      <c r="I12" s="13">
        <f>('Operating Model'!$D$24/(1+$B12)^1+'Operating Model'!$E$24/(1+$B12)^2+'Operating Model'!$F$24/(1+$B12)^3+'Operating Model'!$G$24/(1+$B12)^4+'Operating Model'!$H$24/(1+$B12)^5+'Operating Model'!$H$12*I$4/(1+$B12)^5+Assumptions!$C$41-Assumptions!$C$44)/Assumptions!$C$42</f>
        <v/>
      </c>
      <c r="J12" s="13">
        <f>('Operating Model'!$D$24/(1+$B12)^1+'Operating Model'!$E$24/(1+$B12)^2+'Operating Model'!$F$24/(1+$B12)^3+'Operating Model'!$G$24/(1+$B12)^4+'Operating Model'!$H$24/(1+$B12)^5+'Operating Model'!$H$12*J$4/(1+$B12)^5+Assumptions!$C$41-Assumptions!$C$44)/Assumptions!$C$42</f>
        <v/>
      </c>
    </row>
    <row r="14">
      <c r="B14" s="41" t="inlineStr">
        <is>
          <t>★ Base case = 4th row / 4th column (base WACC × base exit multiple). Axes, cash, convertible debt and shares all link to Assumptions.</t>
        </is>
      </c>
    </row>
    <row r="17">
      <c r="B17" s="8" t="inlineStr">
        <is>
          <t>IMPLIED PRICE TARGET  —  WACC vs. QNX FY2028E EV/Revenue Multiple</t>
        </is>
      </c>
    </row>
    <row r="18" ht="18" customHeight="1">
      <c r="B18" s="39" t="inlineStr">
        <is>
          <t>WACC ↓ | QNX EV/Rev →</t>
        </is>
      </c>
      <c r="C18" s="40">
        <f>Assumptions!$C$29+(-3)*Assumptions!$C$52</f>
        <v/>
      </c>
      <c r="D18" s="40">
        <f>Assumptions!$C$29+(-2)*Assumptions!$C$52</f>
        <v/>
      </c>
      <c r="E18" s="40">
        <f>Assumptions!$C$29+(-1)*Assumptions!$C$52</f>
        <v/>
      </c>
      <c r="F18" s="40">
        <f>Assumptions!$C$29+(0)*Assumptions!$C$52</f>
        <v/>
      </c>
      <c r="G18" s="40">
        <f>Assumptions!$C$29+(1)*Assumptions!$C$52</f>
        <v/>
      </c>
      <c r="H18" s="40">
        <f>Assumptions!$C$29+(2)*Assumptions!$C$52</f>
        <v/>
      </c>
      <c r="I18" s="40">
        <f>Assumptions!$C$29+(3)*Assumptions!$C$52</f>
        <v/>
      </c>
      <c r="J18" s="40">
        <f>Assumptions!$C$29+(4)*Assumptions!$C$52</f>
        <v/>
      </c>
    </row>
    <row r="19" ht="16" customHeight="1">
      <c r="B19" s="22">
        <f>Assumptions!$C$23+(-3)*Assumptions!$C$50</f>
        <v/>
      </c>
      <c r="C19" s="13">
        <f>Assumptions!$C$31*('Operating Model'!$D$24/(1+$B19)^1+'Operating Model'!$E$24/(1+$B19)^2+'Operating Model'!$F$24/(1+$B19)^3+'Operating Model'!$G$24/(1+$B19)^4+'Operating Model'!$H$24/(1+$B19)^5+'Operating Model'!$H$12*Assumptions!$C$26/(1+$B19)^5+Assumptions!$C$41-Assumptions!$C$44)/Assumptions!$C$42+Assumptions!$C$32*(('Operating Model'!$E$4*C$18+'Operating Model'!$E$6*Assumptions!$C$30)/(1+Assumptions!$C$23)^Assumptions!$C$45+Assumptions!$C$41-Assumptions!$C$44)/Assumptions!$C$42</f>
        <v/>
      </c>
      <c r="D19" s="13">
        <f>Assumptions!$C$31*('Operating Model'!$D$24/(1+$B19)^1+'Operating Model'!$E$24/(1+$B19)^2+'Operating Model'!$F$24/(1+$B19)^3+'Operating Model'!$G$24/(1+$B19)^4+'Operating Model'!$H$24/(1+$B19)^5+'Operating Model'!$H$12*Assumptions!$C$26/(1+$B19)^5+Assumptions!$C$41-Assumptions!$C$44)/Assumptions!$C$42+Assumptions!$C$32*(('Operating Model'!$E$4*D$18+'Operating Model'!$E$6*Assumptions!$C$30)/(1+Assumptions!$C$23)^Assumptions!$C$45+Assumptions!$C$41-Assumptions!$C$44)/Assumptions!$C$42</f>
        <v/>
      </c>
      <c r="E19" s="13">
        <f>Assumptions!$C$31*('Operating Model'!$D$24/(1+$B19)^1+'Operating Model'!$E$24/(1+$B19)^2+'Operating Model'!$F$24/(1+$B19)^3+'Operating Model'!$G$24/(1+$B19)^4+'Operating Model'!$H$24/(1+$B19)^5+'Operating Model'!$H$12*Assumptions!$C$26/(1+$B19)^5+Assumptions!$C$41-Assumptions!$C$44)/Assumptions!$C$42+Assumptions!$C$32*(('Operating Model'!$E$4*E$18+'Operating Model'!$E$6*Assumptions!$C$30)/(1+Assumptions!$C$23)^Assumptions!$C$45+Assumptions!$C$41-Assumptions!$C$44)/Assumptions!$C$42</f>
        <v/>
      </c>
      <c r="F19" s="13">
        <f>Assumptions!$C$31*('Operating Model'!$D$24/(1+$B19)^1+'Operating Model'!$E$24/(1+$B19)^2+'Operating Model'!$F$24/(1+$B19)^3+'Operating Model'!$G$24/(1+$B19)^4+'Operating Model'!$H$24/(1+$B19)^5+'Operating Model'!$H$12*Assumptions!$C$26/(1+$B19)^5+Assumptions!$C$41-Assumptions!$C$44)/Assumptions!$C$42+Assumptions!$C$32*(('Operating Model'!$E$4*F$18+'Operating Model'!$E$6*Assumptions!$C$30)/(1+Assumptions!$C$23)^Assumptions!$C$45+Assumptions!$C$41-Assumptions!$C$44)/Assumptions!$C$42</f>
        <v/>
      </c>
      <c r="G19" s="13">
        <f>Assumptions!$C$31*('Operating Model'!$D$24/(1+$B19)^1+'Operating Model'!$E$24/(1+$B19)^2+'Operating Model'!$F$24/(1+$B19)^3+'Operating Model'!$G$24/(1+$B19)^4+'Operating Model'!$H$24/(1+$B19)^5+'Operating Model'!$H$12*Assumptions!$C$26/(1+$B19)^5+Assumptions!$C$41-Assumptions!$C$44)/Assumptions!$C$42+Assumptions!$C$32*(('Operating Model'!$E$4*G$18+'Operating Model'!$E$6*Assumptions!$C$30)/(1+Assumptions!$C$23)^Assumptions!$C$45+Assumptions!$C$41-Assumptions!$C$44)/Assumptions!$C$42</f>
        <v/>
      </c>
      <c r="H19" s="13">
        <f>Assumptions!$C$31*('Operating Model'!$D$24/(1+$B19)^1+'Operating Model'!$E$24/(1+$B19)^2+'Operating Model'!$F$24/(1+$B19)^3+'Operating Model'!$G$24/(1+$B19)^4+'Operating Model'!$H$24/(1+$B19)^5+'Operating Model'!$H$12*Assumptions!$C$26/(1+$B19)^5+Assumptions!$C$41-Assumptions!$C$44)/Assumptions!$C$42+Assumptions!$C$32*(('Operating Model'!$E$4*H$18+'Operating Model'!$E$6*Assumptions!$C$30)/(1+Assumptions!$C$23)^Assumptions!$C$45+Assumptions!$C$41-Assumptions!$C$44)/Assumptions!$C$42</f>
        <v/>
      </c>
      <c r="I19" s="13">
        <f>Assumptions!$C$31*('Operating Model'!$D$24/(1+$B19)^1+'Operating Model'!$E$24/(1+$B19)^2+'Operating Model'!$F$24/(1+$B19)^3+'Operating Model'!$G$24/(1+$B19)^4+'Operating Model'!$H$24/(1+$B19)^5+'Operating Model'!$H$12*Assumptions!$C$26/(1+$B19)^5+Assumptions!$C$41-Assumptions!$C$44)/Assumptions!$C$42+Assumptions!$C$32*(('Operating Model'!$E$4*I$18+'Operating Model'!$E$6*Assumptions!$C$30)/(1+Assumptions!$C$23)^Assumptions!$C$45+Assumptions!$C$41-Assumptions!$C$44)/Assumptions!$C$42</f>
        <v/>
      </c>
      <c r="J19" s="13">
        <f>Assumptions!$C$31*('Operating Model'!$D$24/(1+$B19)^1+'Operating Model'!$E$24/(1+$B19)^2+'Operating Model'!$F$24/(1+$B19)^3+'Operating Model'!$G$24/(1+$B19)^4+'Operating Model'!$H$24/(1+$B19)^5+'Operating Model'!$H$12*Assumptions!$C$26/(1+$B19)^5+Assumptions!$C$41-Assumptions!$C$44)/Assumptions!$C$42+Assumptions!$C$32*(('Operating Model'!$E$4*J$18+'Operating Model'!$E$6*Assumptions!$C$30)/(1+Assumptions!$C$23)^Assumptions!$C$45+Assumptions!$C$41-Assumptions!$C$44)/Assumptions!$C$42</f>
        <v/>
      </c>
    </row>
    <row r="20" ht="16" customHeight="1">
      <c r="B20" s="22">
        <f>Assumptions!$C$23+(-2)*Assumptions!$C$50</f>
        <v/>
      </c>
      <c r="C20" s="13">
        <f>Assumptions!$C$31*('Operating Model'!$D$24/(1+$B20)^1+'Operating Model'!$E$24/(1+$B20)^2+'Operating Model'!$F$24/(1+$B20)^3+'Operating Model'!$G$24/(1+$B20)^4+'Operating Model'!$H$24/(1+$B20)^5+'Operating Model'!$H$12*Assumptions!$C$26/(1+$B20)^5+Assumptions!$C$41-Assumptions!$C$44)/Assumptions!$C$42+Assumptions!$C$32*(('Operating Model'!$E$4*C$18+'Operating Model'!$E$6*Assumptions!$C$30)/(1+Assumptions!$C$23)^Assumptions!$C$45+Assumptions!$C$41-Assumptions!$C$44)/Assumptions!$C$42</f>
        <v/>
      </c>
      <c r="D20" s="13">
        <f>Assumptions!$C$31*('Operating Model'!$D$24/(1+$B20)^1+'Operating Model'!$E$24/(1+$B20)^2+'Operating Model'!$F$24/(1+$B20)^3+'Operating Model'!$G$24/(1+$B20)^4+'Operating Model'!$H$24/(1+$B20)^5+'Operating Model'!$H$12*Assumptions!$C$26/(1+$B20)^5+Assumptions!$C$41-Assumptions!$C$44)/Assumptions!$C$42+Assumptions!$C$32*(('Operating Model'!$E$4*D$18+'Operating Model'!$E$6*Assumptions!$C$30)/(1+Assumptions!$C$23)^Assumptions!$C$45+Assumptions!$C$41-Assumptions!$C$44)/Assumptions!$C$42</f>
        <v/>
      </c>
      <c r="E20" s="13">
        <f>Assumptions!$C$31*('Operating Model'!$D$24/(1+$B20)^1+'Operating Model'!$E$24/(1+$B20)^2+'Operating Model'!$F$24/(1+$B20)^3+'Operating Model'!$G$24/(1+$B20)^4+'Operating Model'!$H$24/(1+$B20)^5+'Operating Model'!$H$12*Assumptions!$C$26/(1+$B20)^5+Assumptions!$C$41-Assumptions!$C$44)/Assumptions!$C$42+Assumptions!$C$32*(('Operating Model'!$E$4*E$18+'Operating Model'!$E$6*Assumptions!$C$30)/(1+Assumptions!$C$23)^Assumptions!$C$45+Assumptions!$C$41-Assumptions!$C$44)/Assumptions!$C$42</f>
        <v/>
      </c>
      <c r="F20" s="13">
        <f>Assumptions!$C$31*('Operating Model'!$D$24/(1+$B20)^1+'Operating Model'!$E$24/(1+$B20)^2+'Operating Model'!$F$24/(1+$B20)^3+'Operating Model'!$G$24/(1+$B20)^4+'Operating Model'!$H$24/(1+$B20)^5+'Operating Model'!$H$12*Assumptions!$C$26/(1+$B20)^5+Assumptions!$C$41-Assumptions!$C$44)/Assumptions!$C$42+Assumptions!$C$32*(('Operating Model'!$E$4*F$18+'Operating Model'!$E$6*Assumptions!$C$30)/(1+Assumptions!$C$23)^Assumptions!$C$45+Assumptions!$C$41-Assumptions!$C$44)/Assumptions!$C$42</f>
        <v/>
      </c>
      <c r="G20" s="13">
        <f>Assumptions!$C$31*('Operating Model'!$D$24/(1+$B20)^1+'Operating Model'!$E$24/(1+$B20)^2+'Operating Model'!$F$24/(1+$B20)^3+'Operating Model'!$G$24/(1+$B20)^4+'Operating Model'!$H$24/(1+$B20)^5+'Operating Model'!$H$12*Assumptions!$C$26/(1+$B20)^5+Assumptions!$C$41-Assumptions!$C$44)/Assumptions!$C$42+Assumptions!$C$32*(('Operating Model'!$E$4*G$18+'Operating Model'!$E$6*Assumptions!$C$30)/(1+Assumptions!$C$23)^Assumptions!$C$45+Assumptions!$C$41-Assumptions!$C$44)/Assumptions!$C$42</f>
        <v/>
      </c>
      <c r="H20" s="13">
        <f>Assumptions!$C$31*('Operating Model'!$D$24/(1+$B20)^1+'Operating Model'!$E$24/(1+$B20)^2+'Operating Model'!$F$24/(1+$B20)^3+'Operating Model'!$G$24/(1+$B20)^4+'Operating Model'!$H$24/(1+$B20)^5+'Operating Model'!$H$12*Assumptions!$C$26/(1+$B20)^5+Assumptions!$C$41-Assumptions!$C$44)/Assumptions!$C$42+Assumptions!$C$32*(('Operating Model'!$E$4*H$18+'Operating Model'!$E$6*Assumptions!$C$30)/(1+Assumptions!$C$23)^Assumptions!$C$45+Assumptions!$C$41-Assumptions!$C$44)/Assumptions!$C$42</f>
        <v/>
      </c>
      <c r="I20" s="13">
        <f>Assumptions!$C$31*('Operating Model'!$D$24/(1+$B20)^1+'Operating Model'!$E$24/(1+$B20)^2+'Operating Model'!$F$24/(1+$B20)^3+'Operating Model'!$G$24/(1+$B20)^4+'Operating Model'!$H$24/(1+$B20)^5+'Operating Model'!$H$12*Assumptions!$C$26/(1+$B20)^5+Assumptions!$C$41-Assumptions!$C$44)/Assumptions!$C$42+Assumptions!$C$32*(('Operating Model'!$E$4*I$18+'Operating Model'!$E$6*Assumptions!$C$30)/(1+Assumptions!$C$23)^Assumptions!$C$45+Assumptions!$C$41-Assumptions!$C$44)/Assumptions!$C$42</f>
        <v/>
      </c>
      <c r="J20" s="13">
        <f>Assumptions!$C$31*('Operating Model'!$D$24/(1+$B20)^1+'Operating Model'!$E$24/(1+$B20)^2+'Operating Model'!$F$24/(1+$B20)^3+'Operating Model'!$G$24/(1+$B20)^4+'Operating Model'!$H$24/(1+$B20)^5+'Operating Model'!$H$12*Assumptions!$C$26/(1+$B20)^5+Assumptions!$C$41-Assumptions!$C$44)/Assumptions!$C$42+Assumptions!$C$32*(('Operating Model'!$E$4*J$18+'Operating Model'!$E$6*Assumptions!$C$30)/(1+Assumptions!$C$23)^Assumptions!$C$45+Assumptions!$C$41-Assumptions!$C$44)/Assumptions!$C$42</f>
        <v/>
      </c>
    </row>
    <row r="21" ht="16" customHeight="1">
      <c r="B21" s="22">
        <f>Assumptions!$C$23+(-1)*Assumptions!$C$50</f>
        <v/>
      </c>
      <c r="C21" s="13">
        <f>Assumptions!$C$31*('Operating Model'!$D$24/(1+$B21)^1+'Operating Model'!$E$24/(1+$B21)^2+'Operating Model'!$F$24/(1+$B21)^3+'Operating Model'!$G$24/(1+$B21)^4+'Operating Model'!$H$24/(1+$B21)^5+'Operating Model'!$H$12*Assumptions!$C$26/(1+$B21)^5+Assumptions!$C$41-Assumptions!$C$44)/Assumptions!$C$42+Assumptions!$C$32*(('Operating Model'!$E$4*C$18+'Operating Model'!$E$6*Assumptions!$C$30)/(1+Assumptions!$C$23)^Assumptions!$C$45+Assumptions!$C$41-Assumptions!$C$44)/Assumptions!$C$42</f>
        <v/>
      </c>
      <c r="D21" s="13">
        <f>Assumptions!$C$31*('Operating Model'!$D$24/(1+$B21)^1+'Operating Model'!$E$24/(1+$B21)^2+'Operating Model'!$F$24/(1+$B21)^3+'Operating Model'!$G$24/(1+$B21)^4+'Operating Model'!$H$24/(1+$B21)^5+'Operating Model'!$H$12*Assumptions!$C$26/(1+$B21)^5+Assumptions!$C$41-Assumptions!$C$44)/Assumptions!$C$42+Assumptions!$C$32*(('Operating Model'!$E$4*D$18+'Operating Model'!$E$6*Assumptions!$C$30)/(1+Assumptions!$C$23)^Assumptions!$C$45+Assumptions!$C$41-Assumptions!$C$44)/Assumptions!$C$42</f>
        <v/>
      </c>
      <c r="E21" s="13">
        <f>Assumptions!$C$31*('Operating Model'!$D$24/(1+$B21)^1+'Operating Model'!$E$24/(1+$B21)^2+'Operating Model'!$F$24/(1+$B21)^3+'Operating Model'!$G$24/(1+$B21)^4+'Operating Model'!$H$24/(1+$B21)^5+'Operating Model'!$H$12*Assumptions!$C$26/(1+$B21)^5+Assumptions!$C$41-Assumptions!$C$44)/Assumptions!$C$42+Assumptions!$C$32*(('Operating Model'!$E$4*E$18+'Operating Model'!$E$6*Assumptions!$C$30)/(1+Assumptions!$C$23)^Assumptions!$C$45+Assumptions!$C$41-Assumptions!$C$44)/Assumptions!$C$42</f>
        <v/>
      </c>
      <c r="F21" s="13">
        <f>Assumptions!$C$31*('Operating Model'!$D$24/(1+$B21)^1+'Operating Model'!$E$24/(1+$B21)^2+'Operating Model'!$F$24/(1+$B21)^3+'Operating Model'!$G$24/(1+$B21)^4+'Operating Model'!$H$24/(1+$B21)^5+'Operating Model'!$H$12*Assumptions!$C$26/(1+$B21)^5+Assumptions!$C$41-Assumptions!$C$44)/Assumptions!$C$42+Assumptions!$C$32*(('Operating Model'!$E$4*F$18+'Operating Model'!$E$6*Assumptions!$C$30)/(1+Assumptions!$C$23)^Assumptions!$C$45+Assumptions!$C$41-Assumptions!$C$44)/Assumptions!$C$42</f>
        <v/>
      </c>
      <c r="G21" s="13">
        <f>Assumptions!$C$31*('Operating Model'!$D$24/(1+$B21)^1+'Operating Model'!$E$24/(1+$B21)^2+'Operating Model'!$F$24/(1+$B21)^3+'Operating Model'!$G$24/(1+$B21)^4+'Operating Model'!$H$24/(1+$B21)^5+'Operating Model'!$H$12*Assumptions!$C$26/(1+$B21)^5+Assumptions!$C$41-Assumptions!$C$44)/Assumptions!$C$42+Assumptions!$C$32*(('Operating Model'!$E$4*G$18+'Operating Model'!$E$6*Assumptions!$C$30)/(1+Assumptions!$C$23)^Assumptions!$C$45+Assumptions!$C$41-Assumptions!$C$44)/Assumptions!$C$42</f>
        <v/>
      </c>
      <c r="H21" s="13">
        <f>Assumptions!$C$31*('Operating Model'!$D$24/(1+$B21)^1+'Operating Model'!$E$24/(1+$B21)^2+'Operating Model'!$F$24/(1+$B21)^3+'Operating Model'!$G$24/(1+$B21)^4+'Operating Model'!$H$24/(1+$B21)^5+'Operating Model'!$H$12*Assumptions!$C$26/(1+$B21)^5+Assumptions!$C$41-Assumptions!$C$44)/Assumptions!$C$42+Assumptions!$C$32*(('Operating Model'!$E$4*H$18+'Operating Model'!$E$6*Assumptions!$C$30)/(1+Assumptions!$C$23)^Assumptions!$C$45+Assumptions!$C$41-Assumptions!$C$44)/Assumptions!$C$42</f>
        <v/>
      </c>
      <c r="I21" s="13">
        <f>Assumptions!$C$31*('Operating Model'!$D$24/(1+$B21)^1+'Operating Model'!$E$24/(1+$B21)^2+'Operating Model'!$F$24/(1+$B21)^3+'Operating Model'!$G$24/(1+$B21)^4+'Operating Model'!$H$24/(1+$B21)^5+'Operating Model'!$H$12*Assumptions!$C$26/(1+$B21)^5+Assumptions!$C$41-Assumptions!$C$44)/Assumptions!$C$42+Assumptions!$C$32*(('Operating Model'!$E$4*I$18+'Operating Model'!$E$6*Assumptions!$C$30)/(1+Assumptions!$C$23)^Assumptions!$C$45+Assumptions!$C$41-Assumptions!$C$44)/Assumptions!$C$42</f>
        <v/>
      </c>
      <c r="J21" s="13">
        <f>Assumptions!$C$31*('Operating Model'!$D$24/(1+$B21)^1+'Operating Model'!$E$24/(1+$B21)^2+'Operating Model'!$F$24/(1+$B21)^3+'Operating Model'!$G$24/(1+$B21)^4+'Operating Model'!$H$24/(1+$B21)^5+'Operating Model'!$H$12*Assumptions!$C$26/(1+$B21)^5+Assumptions!$C$41-Assumptions!$C$44)/Assumptions!$C$42+Assumptions!$C$32*(('Operating Model'!$E$4*J$18+'Operating Model'!$E$6*Assumptions!$C$30)/(1+Assumptions!$C$23)^Assumptions!$C$45+Assumptions!$C$41-Assumptions!$C$44)/Assumptions!$C$42</f>
        <v/>
      </c>
    </row>
    <row r="22" ht="16" customHeight="1">
      <c r="B22" s="22">
        <f>Assumptions!$C$23+(0)*Assumptions!$C$50</f>
        <v/>
      </c>
      <c r="C22" s="13">
        <f>Assumptions!$C$31*('Operating Model'!$D$24/(1+$B22)^1+'Operating Model'!$E$24/(1+$B22)^2+'Operating Model'!$F$24/(1+$B22)^3+'Operating Model'!$G$24/(1+$B22)^4+'Operating Model'!$H$24/(1+$B22)^5+'Operating Model'!$H$12*Assumptions!$C$26/(1+$B22)^5+Assumptions!$C$41-Assumptions!$C$44)/Assumptions!$C$42+Assumptions!$C$32*(('Operating Model'!$E$4*C$18+'Operating Model'!$E$6*Assumptions!$C$30)/(1+Assumptions!$C$23)^Assumptions!$C$45+Assumptions!$C$41-Assumptions!$C$44)/Assumptions!$C$42</f>
        <v/>
      </c>
      <c r="D22" s="13">
        <f>Assumptions!$C$31*('Operating Model'!$D$24/(1+$B22)^1+'Operating Model'!$E$24/(1+$B22)^2+'Operating Model'!$F$24/(1+$B22)^3+'Operating Model'!$G$24/(1+$B22)^4+'Operating Model'!$H$24/(1+$B22)^5+'Operating Model'!$H$12*Assumptions!$C$26/(1+$B22)^5+Assumptions!$C$41-Assumptions!$C$44)/Assumptions!$C$42+Assumptions!$C$32*(('Operating Model'!$E$4*D$18+'Operating Model'!$E$6*Assumptions!$C$30)/(1+Assumptions!$C$23)^Assumptions!$C$45+Assumptions!$C$41-Assumptions!$C$44)/Assumptions!$C$42</f>
        <v/>
      </c>
      <c r="E22" s="13">
        <f>Assumptions!$C$31*('Operating Model'!$D$24/(1+$B22)^1+'Operating Model'!$E$24/(1+$B22)^2+'Operating Model'!$F$24/(1+$B22)^3+'Operating Model'!$G$24/(1+$B22)^4+'Operating Model'!$H$24/(1+$B22)^5+'Operating Model'!$H$12*Assumptions!$C$26/(1+$B22)^5+Assumptions!$C$41-Assumptions!$C$44)/Assumptions!$C$42+Assumptions!$C$32*(('Operating Model'!$E$4*E$18+'Operating Model'!$E$6*Assumptions!$C$30)/(1+Assumptions!$C$23)^Assumptions!$C$45+Assumptions!$C$41-Assumptions!$C$44)/Assumptions!$C$42</f>
        <v/>
      </c>
      <c r="F22" s="13">
        <f>Assumptions!$C$31*('Operating Model'!$D$24/(1+$B22)^1+'Operating Model'!$E$24/(1+$B22)^2+'Operating Model'!$F$24/(1+$B22)^3+'Operating Model'!$G$24/(1+$B22)^4+'Operating Model'!$H$24/(1+$B22)^5+'Operating Model'!$H$12*Assumptions!$C$26/(1+$B22)^5+Assumptions!$C$41-Assumptions!$C$44)/Assumptions!$C$42+Assumptions!$C$32*(('Operating Model'!$E$4*F$18+'Operating Model'!$E$6*Assumptions!$C$30)/(1+Assumptions!$C$23)^Assumptions!$C$45+Assumptions!$C$41-Assumptions!$C$44)/Assumptions!$C$42</f>
        <v/>
      </c>
      <c r="G22" s="13">
        <f>Assumptions!$C$31*('Operating Model'!$D$24/(1+$B22)^1+'Operating Model'!$E$24/(1+$B22)^2+'Operating Model'!$F$24/(1+$B22)^3+'Operating Model'!$G$24/(1+$B22)^4+'Operating Model'!$H$24/(1+$B22)^5+'Operating Model'!$H$12*Assumptions!$C$26/(1+$B22)^5+Assumptions!$C$41-Assumptions!$C$44)/Assumptions!$C$42+Assumptions!$C$32*(('Operating Model'!$E$4*G$18+'Operating Model'!$E$6*Assumptions!$C$30)/(1+Assumptions!$C$23)^Assumptions!$C$45+Assumptions!$C$41-Assumptions!$C$44)/Assumptions!$C$42</f>
        <v/>
      </c>
      <c r="H22" s="13">
        <f>Assumptions!$C$31*('Operating Model'!$D$24/(1+$B22)^1+'Operating Model'!$E$24/(1+$B22)^2+'Operating Model'!$F$24/(1+$B22)^3+'Operating Model'!$G$24/(1+$B22)^4+'Operating Model'!$H$24/(1+$B22)^5+'Operating Model'!$H$12*Assumptions!$C$26/(1+$B22)^5+Assumptions!$C$41-Assumptions!$C$44)/Assumptions!$C$42+Assumptions!$C$32*(('Operating Model'!$E$4*H$18+'Operating Model'!$E$6*Assumptions!$C$30)/(1+Assumptions!$C$23)^Assumptions!$C$45+Assumptions!$C$41-Assumptions!$C$44)/Assumptions!$C$42</f>
        <v/>
      </c>
      <c r="I22" s="13">
        <f>Assumptions!$C$31*('Operating Model'!$D$24/(1+$B22)^1+'Operating Model'!$E$24/(1+$B22)^2+'Operating Model'!$F$24/(1+$B22)^3+'Operating Model'!$G$24/(1+$B22)^4+'Operating Model'!$H$24/(1+$B22)^5+'Operating Model'!$H$12*Assumptions!$C$26/(1+$B22)^5+Assumptions!$C$41-Assumptions!$C$44)/Assumptions!$C$42+Assumptions!$C$32*(('Operating Model'!$E$4*I$18+'Operating Model'!$E$6*Assumptions!$C$30)/(1+Assumptions!$C$23)^Assumptions!$C$45+Assumptions!$C$41-Assumptions!$C$44)/Assumptions!$C$42</f>
        <v/>
      </c>
      <c r="J22" s="13">
        <f>Assumptions!$C$31*('Operating Model'!$D$24/(1+$B22)^1+'Operating Model'!$E$24/(1+$B22)^2+'Operating Model'!$F$24/(1+$B22)^3+'Operating Model'!$G$24/(1+$B22)^4+'Operating Model'!$H$24/(1+$B22)^5+'Operating Model'!$H$12*Assumptions!$C$26/(1+$B22)^5+Assumptions!$C$41-Assumptions!$C$44)/Assumptions!$C$42+Assumptions!$C$32*(('Operating Model'!$E$4*J$18+'Operating Model'!$E$6*Assumptions!$C$30)/(1+Assumptions!$C$23)^Assumptions!$C$45+Assumptions!$C$41-Assumptions!$C$44)/Assumptions!$C$42</f>
        <v/>
      </c>
    </row>
    <row r="23" ht="16" customHeight="1">
      <c r="B23" s="22">
        <f>Assumptions!$C$23+(1)*Assumptions!$C$50</f>
        <v/>
      </c>
      <c r="C23" s="13">
        <f>Assumptions!$C$31*('Operating Model'!$D$24/(1+$B23)^1+'Operating Model'!$E$24/(1+$B23)^2+'Operating Model'!$F$24/(1+$B23)^3+'Operating Model'!$G$24/(1+$B23)^4+'Operating Model'!$H$24/(1+$B23)^5+'Operating Model'!$H$12*Assumptions!$C$26/(1+$B23)^5+Assumptions!$C$41-Assumptions!$C$44)/Assumptions!$C$42+Assumptions!$C$32*(('Operating Model'!$E$4*C$18+'Operating Model'!$E$6*Assumptions!$C$30)/(1+Assumptions!$C$23)^Assumptions!$C$45+Assumptions!$C$41-Assumptions!$C$44)/Assumptions!$C$42</f>
        <v/>
      </c>
      <c r="D23" s="13">
        <f>Assumptions!$C$31*('Operating Model'!$D$24/(1+$B23)^1+'Operating Model'!$E$24/(1+$B23)^2+'Operating Model'!$F$24/(1+$B23)^3+'Operating Model'!$G$24/(1+$B23)^4+'Operating Model'!$H$24/(1+$B23)^5+'Operating Model'!$H$12*Assumptions!$C$26/(1+$B23)^5+Assumptions!$C$41-Assumptions!$C$44)/Assumptions!$C$42+Assumptions!$C$32*(('Operating Model'!$E$4*D$18+'Operating Model'!$E$6*Assumptions!$C$30)/(1+Assumptions!$C$23)^Assumptions!$C$45+Assumptions!$C$41-Assumptions!$C$44)/Assumptions!$C$42</f>
        <v/>
      </c>
      <c r="E23" s="13">
        <f>Assumptions!$C$31*('Operating Model'!$D$24/(1+$B23)^1+'Operating Model'!$E$24/(1+$B23)^2+'Operating Model'!$F$24/(1+$B23)^3+'Operating Model'!$G$24/(1+$B23)^4+'Operating Model'!$H$24/(1+$B23)^5+'Operating Model'!$H$12*Assumptions!$C$26/(1+$B23)^5+Assumptions!$C$41-Assumptions!$C$44)/Assumptions!$C$42+Assumptions!$C$32*(('Operating Model'!$E$4*E$18+'Operating Model'!$E$6*Assumptions!$C$30)/(1+Assumptions!$C$23)^Assumptions!$C$45+Assumptions!$C$41-Assumptions!$C$44)/Assumptions!$C$42</f>
        <v/>
      </c>
      <c r="F23" s="13">
        <f>Assumptions!$C$31*('Operating Model'!$D$24/(1+$B23)^1+'Operating Model'!$E$24/(1+$B23)^2+'Operating Model'!$F$24/(1+$B23)^3+'Operating Model'!$G$24/(1+$B23)^4+'Operating Model'!$H$24/(1+$B23)^5+'Operating Model'!$H$12*Assumptions!$C$26/(1+$B23)^5+Assumptions!$C$41-Assumptions!$C$44)/Assumptions!$C$42+Assumptions!$C$32*(('Operating Model'!$E$4*F$18+'Operating Model'!$E$6*Assumptions!$C$30)/(1+Assumptions!$C$23)^Assumptions!$C$45+Assumptions!$C$41-Assumptions!$C$44)/Assumptions!$C$42</f>
        <v/>
      </c>
      <c r="G23" s="13">
        <f>Assumptions!$C$31*('Operating Model'!$D$24/(1+$B23)^1+'Operating Model'!$E$24/(1+$B23)^2+'Operating Model'!$F$24/(1+$B23)^3+'Operating Model'!$G$24/(1+$B23)^4+'Operating Model'!$H$24/(1+$B23)^5+'Operating Model'!$H$12*Assumptions!$C$26/(1+$B23)^5+Assumptions!$C$41-Assumptions!$C$44)/Assumptions!$C$42+Assumptions!$C$32*(('Operating Model'!$E$4*G$18+'Operating Model'!$E$6*Assumptions!$C$30)/(1+Assumptions!$C$23)^Assumptions!$C$45+Assumptions!$C$41-Assumptions!$C$44)/Assumptions!$C$42</f>
        <v/>
      </c>
      <c r="H23" s="13">
        <f>Assumptions!$C$31*('Operating Model'!$D$24/(1+$B23)^1+'Operating Model'!$E$24/(1+$B23)^2+'Operating Model'!$F$24/(1+$B23)^3+'Operating Model'!$G$24/(1+$B23)^4+'Operating Model'!$H$24/(1+$B23)^5+'Operating Model'!$H$12*Assumptions!$C$26/(1+$B23)^5+Assumptions!$C$41-Assumptions!$C$44)/Assumptions!$C$42+Assumptions!$C$32*(('Operating Model'!$E$4*H$18+'Operating Model'!$E$6*Assumptions!$C$30)/(1+Assumptions!$C$23)^Assumptions!$C$45+Assumptions!$C$41-Assumptions!$C$44)/Assumptions!$C$42</f>
        <v/>
      </c>
      <c r="I23" s="13">
        <f>Assumptions!$C$31*('Operating Model'!$D$24/(1+$B23)^1+'Operating Model'!$E$24/(1+$B23)^2+'Operating Model'!$F$24/(1+$B23)^3+'Operating Model'!$G$24/(1+$B23)^4+'Operating Model'!$H$24/(1+$B23)^5+'Operating Model'!$H$12*Assumptions!$C$26/(1+$B23)^5+Assumptions!$C$41-Assumptions!$C$44)/Assumptions!$C$42+Assumptions!$C$32*(('Operating Model'!$E$4*I$18+'Operating Model'!$E$6*Assumptions!$C$30)/(1+Assumptions!$C$23)^Assumptions!$C$45+Assumptions!$C$41-Assumptions!$C$44)/Assumptions!$C$42</f>
        <v/>
      </c>
      <c r="J23" s="13">
        <f>Assumptions!$C$31*('Operating Model'!$D$24/(1+$B23)^1+'Operating Model'!$E$24/(1+$B23)^2+'Operating Model'!$F$24/(1+$B23)^3+'Operating Model'!$G$24/(1+$B23)^4+'Operating Model'!$H$24/(1+$B23)^5+'Operating Model'!$H$12*Assumptions!$C$26/(1+$B23)^5+Assumptions!$C$41-Assumptions!$C$44)/Assumptions!$C$42+Assumptions!$C$32*(('Operating Model'!$E$4*J$18+'Operating Model'!$E$6*Assumptions!$C$30)/(1+Assumptions!$C$23)^Assumptions!$C$45+Assumptions!$C$41-Assumptions!$C$44)/Assumptions!$C$42</f>
        <v/>
      </c>
    </row>
    <row r="24" ht="16" customHeight="1">
      <c r="B24" s="22">
        <f>Assumptions!$C$23+(2)*Assumptions!$C$50</f>
        <v/>
      </c>
      <c r="C24" s="13">
        <f>Assumptions!$C$31*('Operating Model'!$D$24/(1+$B24)^1+'Operating Model'!$E$24/(1+$B24)^2+'Operating Model'!$F$24/(1+$B24)^3+'Operating Model'!$G$24/(1+$B24)^4+'Operating Model'!$H$24/(1+$B24)^5+'Operating Model'!$H$12*Assumptions!$C$26/(1+$B24)^5+Assumptions!$C$41-Assumptions!$C$44)/Assumptions!$C$42+Assumptions!$C$32*(('Operating Model'!$E$4*C$18+'Operating Model'!$E$6*Assumptions!$C$30)/(1+Assumptions!$C$23)^Assumptions!$C$45+Assumptions!$C$41-Assumptions!$C$44)/Assumptions!$C$42</f>
        <v/>
      </c>
      <c r="D24" s="13">
        <f>Assumptions!$C$31*('Operating Model'!$D$24/(1+$B24)^1+'Operating Model'!$E$24/(1+$B24)^2+'Operating Model'!$F$24/(1+$B24)^3+'Operating Model'!$G$24/(1+$B24)^4+'Operating Model'!$H$24/(1+$B24)^5+'Operating Model'!$H$12*Assumptions!$C$26/(1+$B24)^5+Assumptions!$C$41-Assumptions!$C$44)/Assumptions!$C$42+Assumptions!$C$32*(('Operating Model'!$E$4*D$18+'Operating Model'!$E$6*Assumptions!$C$30)/(1+Assumptions!$C$23)^Assumptions!$C$45+Assumptions!$C$41-Assumptions!$C$44)/Assumptions!$C$42</f>
        <v/>
      </c>
      <c r="E24" s="13">
        <f>Assumptions!$C$31*('Operating Model'!$D$24/(1+$B24)^1+'Operating Model'!$E$24/(1+$B24)^2+'Operating Model'!$F$24/(1+$B24)^3+'Operating Model'!$G$24/(1+$B24)^4+'Operating Model'!$H$24/(1+$B24)^5+'Operating Model'!$H$12*Assumptions!$C$26/(1+$B24)^5+Assumptions!$C$41-Assumptions!$C$44)/Assumptions!$C$42+Assumptions!$C$32*(('Operating Model'!$E$4*E$18+'Operating Model'!$E$6*Assumptions!$C$30)/(1+Assumptions!$C$23)^Assumptions!$C$45+Assumptions!$C$41-Assumptions!$C$44)/Assumptions!$C$42</f>
        <v/>
      </c>
      <c r="F24" s="13">
        <f>Assumptions!$C$31*('Operating Model'!$D$24/(1+$B24)^1+'Operating Model'!$E$24/(1+$B24)^2+'Operating Model'!$F$24/(1+$B24)^3+'Operating Model'!$G$24/(1+$B24)^4+'Operating Model'!$H$24/(1+$B24)^5+'Operating Model'!$H$12*Assumptions!$C$26/(1+$B24)^5+Assumptions!$C$41-Assumptions!$C$44)/Assumptions!$C$42+Assumptions!$C$32*(('Operating Model'!$E$4*F$18+'Operating Model'!$E$6*Assumptions!$C$30)/(1+Assumptions!$C$23)^Assumptions!$C$45+Assumptions!$C$41-Assumptions!$C$44)/Assumptions!$C$42</f>
        <v/>
      </c>
      <c r="G24" s="13">
        <f>Assumptions!$C$31*('Operating Model'!$D$24/(1+$B24)^1+'Operating Model'!$E$24/(1+$B24)^2+'Operating Model'!$F$24/(1+$B24)^3+'Operating Model'!$G$24/(1+$B24)^4+'Operating Model'!$H$24/(1+$B24)^5+'Operating Model'!$H$12*Assumptions!$C$26/(1+$B24)^5+Assumptions!$C$41-Assumptions!$C$44)/Assumptions!$C$42+Assumptions!$C$32*(('Operating Model'!$E$4*G$18+'Operating Model'!$E$6*Assumptions!$C$30)/(1+Assumptions!$C$23)^Assumptions!$C$45+Assumptions!$C$41-Assumptions!$C$44)/Assumptions!$C$42</f>
        <v/>
      </c>
      <c r="H24" s="13">
        <f>Assumptions!$C$31*('Operating Model'!$D$24/(1+$B24)^1+'Operating Model'!$E$24/(1+$B24)^2+'Operating Model'!$F$24/(1+$B24)^3+'Operating Model'!$G$24/(1+$B24)^4+'Operating Model'!$H$24/(1+$B24)^5+'Operating Model'!$H$12*Assumptions!$C$26/(1+$B24)^5+Assumptions!$C$41-Assumptions!$C$44)/Assumptions!$C$42+Assumptions!$C$32*(('Operating Model'!$E$4*H$18+'Operating Model'!$E$6*Assumptions!$C$30)/(1+Assumptions!$C$23)^Assumptions!$C$45+Assumptions!$C$41-Assumptions!$C$44)/Assumptions!$C$42</f>
        <v/>
      </c>
      <c r="I24" s="13">
        <f>Assumptions!$C$31*('Operating Model'!$D$24/(1+$B24)^1+'Operating Model'!$E$24/(1+$B24)^2+'Operating Model'!$F$24/(1+$B24)^3+'Operating Model'!$G$24/(1+$B24)^4+'Operating Model'!$H$24/(1+$B24)^5+'Operating Model'!$H$12*Assumptions!$C$26/(1+$B24)^5+Assumptions!$C$41-Assumptions!$C$44)/Assumptions!$C$42+Assumptions!$C$32*(('Operating Model'!$E$4*I$18+'Operating Model'!$E$6*Assumptions!$C$30)/(1+Assumptions!$C$23)^Assumptions!$C$45+Assumptions!$C$41-Assumptions!$C$44)/Assumptions!$C$42</f>
        <v/>
      </c>
      <c r="J24" s="13">
        <f>Assumptions!$C$31*('Operating Model'!$D$24/(1+$B24)^1+'Operating Model'!$E$24/(1+$B24)^2+'Operating Model'!$F$24/(1+$B24)^3+'Operating Model'!$G$24/(1+$B24)^4+'Operating Model'!$H$24/(1+$B24)^5+'Operating Model'!$H$12*Assumptions!$C$26/(1+$B24)^5+Assumptions!$C$41-Assumptions!$C$44)/Assumptions!$C$42+Assumptions!$C$32*(('Operating Model'!$E$4*J$18+'Operating Model'!$E$6*Assumptions!$C$30)/(1+Assumptions!$C$23)^Assumptions!$C$45+Assumptions!$C$41-Assumptions!$C$44)/Assumptions!$C$42</f>
        <v/>
      </c>
    </row>
    <row r="25" ht="16" customHeight="1">
      <c r="B25" s="22">
        <f>Assumptions!$C$23+(3)*Assumptions!$C$50</f>
        <v/>
      </c>
      <c r="C25" s="13">
        <f>Assumptions!$C$31*('Operating Model'!$D$24/(1+$B25)^1+'Operating Model'!$E$24/(1+$B25)^2+'Operating Model'!$F$24/(1+$B25)^3+'Operating Model'!$G$24/(1+$B25)^4+'Operating Model'!$H$24/(1+$B25)^5+'Operating Model'!$H$12*Assumptions!$C$26/(1+$B25)^5+Assumptions!$C$41-Assumptions!$C$44)/Assumptions!$C$42+Assumptions!$C$32*(('Operating Model'!$E$4*C$18+'Operating Model'!$E$6*Assumptions!$C$30)/(1+Assumptions!$C$23)^Assumptions!$C$45+Assumptions!$C$41-Assumptions!$C$44)/Assumptions!$C$42</f>
        <v/>
      </c>
      <c r="D25" s="13">
        <f>Assumptions!$C$31*('Operating Model'!$D$24/(1+$B25)^1+'Operating Model'!$E$24/(1+$B25)^2+'Operating Model'!$F$24/(1+$B25)^3+'Operating Model'!$G$24/(1+$B25)^4+'Operating Model'!$H$24/(1+$B25)^5+'Operating Model'!$H$12*Assumptions!$C$26/(1+$B25)^5+Assumptions!$C$41-Assumptions!$C$44)/Assumptions!$C$42+Assumptions!$C$32*(('Operating Model'!$E$4*D$18+'Operating Model'!$E$6*Assumptions!$C$30)/(1+Assumptions!$C$23)^Assumptions!$C$45+Assumptions!$C$41-Assumptions!$C$44)/Assumptions!$C$42</f>
        <v/>
      </c>
      <c r="E25" s="13">
        <f>Assumptions!$C$31*('Operating Model'!$D$24/(1+$B25)^1+'Operating Model'!$E$24/(1+$B25)^2+'Operating Model'!$F$24/(1+$B25)^3+'Operating Model'!$G$24/(1+$B25)^4+'Operating Model'!$H$24/(1+$B25)^5+'Operating Model'!$H$12*Assumptions!$C$26/(1+$B25)^5+Assumptions!$C$41-Assumptions!$C$44)/Assumptions!$C$42+Assumptions!$C$32*(('Operating Model'!$E$4*E$18+'Operating Model'!$E$6*Assumptions!$C$30)/(1+Assumptions!$C$23)^Assumptions!$C$45+Assumptions!$C$41-Assumptions!$C$44)/Assumptions!$C$42</f>
        <v/>
      </c>
      <c r="F25" s="13">
        <f>Assumptions!$C$31*('Operating Model'!$D$24/(1+$B25)^1+'Operating Model'!$E$24/(1+$B25)^2+'Operating Model'!$F$24/(1+$B25)^3+'Operating Model'!$G$24/(1+$B25)^4+'Operating Model'!$H$24/(1+$B25)^5+'Operating Model'!$H$12*Assumptions!$C$26/(1+$B25)^5+Assumptions!$C$41-Assumptions!$C$44)/Assumptions!$C$42+Assumptions!$C$32*(('Operating Model'!$E$4*F$18+'Operating Model'!$E$6*Assumptions!$C$30)/(1+Assumptions!$C$23)^Assumptions!$C$45+Assumptions!$C$41-Assumptions!$C$44)/Assumptions!$C$42</f>
        <v/>
      </c>
      <c r="G25" s="13">
        <f>Assumptions!$C$31*('Operating Model'!$D$24/(1+$B25)^1+'Operating Model'!$E$24/(1+$B25)^2+'Operating Model'!$F$24/(1+$B25)^3+'Operating Model'!$G$24/(1+$B25)^4+'Operating Model'!$H$24/(1+$B25)^5+'Operating Model'!$H$12*Assumptions!$C$26/(1+$B25)^5+Assumptions!$C$41-Assumptions!$C$44)/Assumptions!$C$42+Assumptions!$C$32*(('Operating Model'!$E$4*G$18+'Operating Model'!$E$6*Assumptions!$C$30)/(1+Assumptions!$C$23)^Assumptions!$C$45+Assumptions!$C$41-Assumptions!$C$44)/Assumptions!$C$42</f>
        <v/>
      </c>
      <c r="H25" s="13">
        <f>Assumptions!$C$31*('Operating Model'!$D$24/(1+$B25)^1+'Operating Model'!$E$24/(1+$B25)^2+'Operating Model'!$F$24/(1+$B25)^3+'Operating Model'!$G$24/(1+$B25)^4+'Operating Model'!$H$24/(1+$B25)^5+'Operating Model'!$H$12*Assumptions!$C$26/(1+$B25)^5+Assumptions!$C$41-Assumptions!$C$44)/Assumptions!$C$42+Assumptions!$C$32*(('Operating Model'!$E$4*H$18+'Operating Model'!$E$6*Assumptions!$C$30)/(1+Assumptions!$C$23)^Assumptions!$C$45+Assumptions!$C$41-Assumptions!$C$44)/Assumptions!$C$42</f>
        <v/>
      </c>
      <c r="I25" s="13">
        <f>Assumptions!$C$31*('Operating Model'!$D$24/(1+$B25)^1+'Operating Model'!$E$24/(1+$B25)^2+'Operating Model'!$F$24/(1+$B25)^3+'Operating Model'!$G$24/(1+$B25)^4+'Operating Model'!$H$24/(1+$B25)^5+'Operating Model'!$H$12*Assumptions!$C$26/(1+$B25)^5+Assumptions!$C$41-Assumptions!$C$44)/Assumptions!$C$42+Assumptions!$C$32*(('Operating Model'!$E$4*I$18+'Operating Model'!$E$6*Assumptions!$C$30)/(1+Assumptions!$C$23)^Assumptions!$C$45+Assumptions!$C$41-Assumptions!$C$44)/Assumptions!$C$42</f>
        <v/>
      </c>
      <c r="J25" s="13">
        <f>Assumptions!$C$31*('Operating Model'!$D$24/(1+$B25)^1+'Operating Model'!$E$24/(1+$B25)^2+'Operating Model'!$F$24/(1+$B25)^3+'Operating Model'!$G$24/(1+$B25)^4+'Operating Model'!$H$24/(1+$B25)^5+'Operating Model'!$H$12*Assumptions!$C$26/(1+$B25)^5+Assumptions!$C$41-Assumptions!$C$44)/Assumptions!$C$42+Assumptions!$C$32*(('Operating Model'!$E$4*J$18+'Operating Model'!$E$6*Assumptions!$C$30)/(1+Assumptions!$C$23)^Assumptions!$C$45+Assumptions!$C$41-Assumptions!$C$44)/Assumptions!$C$42</f>
        <v/>
      </c>
    </row>
    <row r="26" ht="16" customHeight="1">
      <c r="B26" s="22">
        <f>Assumptions!$C$23+(4)*Assumptions!$C$50</f>
        <v/>
      </c>
      <c r="C26" s="13">
        <f>Assumptions!$C$31*('Operating Model'!$D$24/(1+$B26)^1+'Operating Model'!$E$24/(1+$B26)^2+'Operating Model'!$F$24/(1+$B26)^3+'Operating Model'!$G$24/(1+$B26)^4+'Operating Model'!$H$24/(1+$B26)^5+'Operating Model'!$H$12*Assumptions!$C$26/(1+$B26)^5+Assumptions!$C$41-Assumptions!$C$44)/Assumptions!$C$42+Assumptions!$C$32*(('Operating Model'!$E$4*C$18+'Operating Model'!$E$6*Assumptions!$C$30)/(1+Assumptions!$C$23)^Assumptions!$C$45+Assumptions!$C$41-Assumptions!$C$44)/Assumptions!$C$42</f>
        <v/>
      </c>
      <c r="D26" s="13">
        <f>Assumptions!$C$31*('Operating Model'!$D$24/(1+$B26)^1+'Operating Model'!$E$24/(1+$B26)^2+'Operating Model'!$F$24/(1+$B26)^3+'Operating Model'!$G$24/(1+$B26)^4+'Operating Model'!$H$24/(1+$B26)^5+'Operating Model'!$H$12*Assumptions!$C$26/(1+$B26)^5+Assumptions!$C$41-Assumptions!$C$44)/Assumptions!$C$42+Assumptions!$C$32*(('Operating Model'!$E$4*D$18+'Operating Model'!$E$6*Assumptions!$C$30)/(1+Assumptions!$C$23)^Assumptions!$C$45+Assumptions!$C$41-Assumptions!$C$44)/Assumptions!$C$42</f>
        <v/>
      </c>
      <c r="E26" s="13">
        <f>Assumptions!$C$31*('Operating Model'!$D$24/(1+$B26)^1+'Operating Model'!$E$24/(1+$B26)^2+'Operating Model'!$F$24/(1+$B26)^3+'Operating Model'!$G$24/(1+$B26)^4+'Operating Model'!$H$24/(1+$B26)^5+'Operating Model'!$H$12*Assumptions!$C$26/(1+$B26)^5+Assumptions!$C$41-Assumptions!$C$44)/Assumptions!$C$42+Assumptions!$C$32*(('Operating Model'!$E$4*E$18+'Operating Model'!$E$6*Assumptions!$C$30)/(1+Assumptions!$C$23)^Assumptions!$C$45+Assumptions!$C$41-Assumptions!$C$44)/Assumptions!$C$42</f>
        <v/>
      </c>
      <c r="F26" s="13">
        <f>Assumptions!$C$31*('Operating Model'!$D$24/(1+$B26)^1+'Operating Model'!$E$24/(1+$B26)^2+'Operating Model'!$F$24/(1+$B26)^3+'Operating Model'!$G$24/(1+$B26)^4+'Operating Model'!$H$24/(1+$B26)^5+'Operating Model'!$H$12*Assumptions!$C$26/(1+$B26)^5+Assumptions!$C$41-Assumptions!$C$44)/Assumptions!$C$42+Assumptions!$C$32*(('Operating Model'!$E$4*F$18+'Operating Model'!$E$6*Assumptions!$C$30)/(1+Assumptions!$C$23)^Assumptions!$C$45+Assumptions!$C$41-Assumptions!$C$44)/Assumptions!$C$42</f>
        <v/>
      </c>
      <c r="G26" s="13">
        <f>Assumptions!$C$31*('Operating Model'!$D$24/(1+$B26)^1+'Operating Model'!$E$24/(1+$B26)^2+'Operating Model'!$F$24/(1+$B26)^3+'Operating Model'!$G$24/(1+$B26)^4+'Operating Model'!$H$24/(1+$B26)^5+'Operating Model'!$H$12*Assumptions!$C$26/(1+$B26)^5+Assumptions!$C$41-Assumptions!$C$44)/Assumptions!$C$42+Assumptions!$C$32*(('Operating Model'!$E$4*G$18+'Operating Model'!$E$6*Assumptions!$C$30)/(1+Assumptions!$C$23)^Assumptions!$C$45+Assumptions!$C$41-Assumptions!$C$44)/Assumptions!$C$42</f>
        <v/>
      </c>
      <c r="H26" s="13">
        <f>Assumptions!$C$31*('Operating Model'!$D$24/(1+$B26)^1+'Operating Model'!$E$24/(1+$B26)^2+'Operating Model'!$F$24/(1+$B26)^3+'Operating Model'!$G$24/(1+$B26)^4+'Operating Model'!$H$24/(1+$B26)^5+'Operating Model'!$H$12*Assumptions!$C$26/(1+$B26)^5+Assumptions!$C$41-Assumptions!$C$44)/Assumptions!$C$42+Assumptions!$C$32*(('Operating Model'!$E$4*H$18+'Operating Model'!$E$6*Assumptions!$C$30)/(1+Assumptions!$C$23)^Assumptions!$C$45+Assumptions!$C$41-Assumptions!$C$44)/Assumptions!$C$42</f>
        <v/>
      </c>
      <c r="I26" s="13">
        <f>Assumptions!$C$31*('Operating Model'!$D$24/(1+$B26)^1+'Operating Model'!$E$24/(1+$B26)^2+'Operating Model'!$F$24/(1+$B26)^3+'Operating Model'!$G$24/(1+$B26)^4+'Operating Model'!$H$24/(1+$B26)^5+'Operating Model'!$H$12*Assumptions!$C$26/(1+$B26)^5+Assumptions!$C$41-Assumptions!$C$44)/Assumptions!$C$42+Assumptions!$C$32*(('Operating Model'!$E$4*I$18+'Operating Model'!$E$6*Assumptions!$C$30)/(1+Assumptions!$C$23)^Assumptions!$C$45+Assumptions!$C$41-Assumptions!$C$44)/Assumptions!$C$42</f>
        <v/>
      </c>
      <c r="J26" s="13">
        <f>Assumptions!$C$31*('Operating Model'!$D$24/(1+$B26)^1+'Operating Model'!$E$24/(1+$B26)^2+'Operating Model'!$F$24/(1+$B26)^3+'Operating Model'!$G$24/(1+$B26)^4+'Operating Model'!$H$24/(1+$B26)^5+'Operating Model'!$H$12*Assumptions!$C$26/(1+$B26)^5+Assumptions!$C$41-Assumptions!$C$44)/Assumptions!$C$42+Assumptions!$C$32*(('Operating Model'!$E$4*J$18+'Operating Model'!$E$6*Assumptions!$C$30)/(1+Assumptions!$C$23)^Assumptions!$C$45+Assumptions!$C$41-Assumptions!$C$44)/Assumptions!$C$42</f>
        <v/>
      </c>
    </row>
    <row r="28">
      <c r="B28" s="41" t="inlineStr">
        <is>
          <t>Blended PT = DCF weight × DCF + comps weight × comps (discounted FY2028E segment EV). QNX multiple varies by column; CySec multiple held at Assumptions. All formulas live.</t>
        </is>
      </c>
    </row>
    <row r="31">
      <c r="B31" s="8" t="inlineStr">
        <is>
          <t>SCENARIO SUMMARY</t>
        </is>
      </c>
    </row>
    <row r="32" ht="18" customHeight="1">
      <c r="B32" s="3" t="inlineStr">
        <is>
          <t>Scenario</t>
        </is>
      </c>
      <c r="C32" s="3" t="inlineStr">
        <is>
          <t>WACC</t>
        </is>
      </c>
      <c r="D32" s="3" t="inlineStr">
        <is>
          <t>Exit Mult</t>
        </is>
      </c>
      <c r="E32" s="3" t="inlineStr">
        <is>
          <t>QNX EV/Rev</t>
        </is>
      </c>
      <c r="F32" s="3" t="inlineStr">
        <is>
          <t>DCF PT</t>
        </is>
      </c>
      <c r="G32" s="3" t="inlineStr">
        <is>
          <t>Comps PT</t>
        </is>
      </c>
      <c r="H32" s="3" t="inlineStr">
        <is>
          <t>Blended PT</t>
        </is>
      </c>
      <c r="I32" s="3" t="inlineStr">
        <is>
          <t>Upside</t>
        </is>
      </c>
    </row>
    <row r="33" ht="16" customHeight="1">
      <c r="B33" s="12" t="inlineStr">
        <is>
          <t>Bear</t>
        </is>
      </c>
      <c r="C33" s="14">
        <f>Assumptions!$C$25</f>
        <v/>
      </c>
      <c r="D33" s="42">
        <f>Assumptions!$C$28</f>
        <v/>
      </c>
      <c r="E33" s="42">
        <f>Assumptions!$C$46</f>
        <v/>
      </c>
      <c r="F33" s="13">
        <f>('Operating Model'!$D$24/(1+Assumptions!$C$25)^1+'Operating Model'!$E$24/(1+Assumptions!$C$25)^2+'Operating Model'!$F$24/(1+Assumptions!$C$25)^3+'Operating Model'!$G$24/(1+Assumptions!$C$25)^4+'Operating Model'!$H$24/(1+Assumptions!$C$25)^5+'Operating Model'!$H$12*Assumptions!$C$28/(1+Assumptions!$C$25)^5+Assumptions!$C$41-Assumptions!$C$44)/Assumptions!$C$42</f>
        <v/>
      </c>
      <c r="G33" s="13">
        <f>(('Operating Model'!$E$4*Assumptions!$C$46+'Operating Model'!$E$6*Assumptions!$C$30)/(1+Assumptions!$C$23)^Assumptions!$C$45+Assumptions!$C$41-Assumptions!$C$44)/Assumptions!$C$42</f>
        <v/>
      </c>
      <c r="H33" s="13">
        <f>Assumptions!$C$31*('Operating Model'!$D$24/(1+Assumptions!$C$25)^1+'Operating Model'!$E$24/(1+Assumptions!$C$25)^2+'Operating Model'!$F$24/(1+Assumptions!$C$25)^3+'Operating Model'!$G$24/(1+Assumptions!$C$25)^4+'Operating Model'!$H$24/(1+Assumptions!$C$25)^5+'Operating Model'!$H$12*Assumptions!$C$28/(1+Assumptions!$C$25)^5+Assumptions!$C$41-Assumptions!$C$44)/Assumptions!$C$42+Assumptions!$C$32*(('Operating Model'!$E$4*Assumptions!$C$46+'Operating Model'!$E$6*Assumptions!$C$30)/(1+Assumptions!$C$23)^Assumptions!$C$45+Assumptions!$C$41-Assumptions!$C$44)/Assumptions!$C$42</f>
        <v/>
      </c>
      <c r="I33" s="14">
        <f>(Assumptions!$C$31*('Operating Model'!$D$24/(1+Assumptions!$C$25)^1+'Operating Model'!$E$24/(1+Assumptions!$C$25)^2+'Operating Model'!$F$24/(1+Assumptions!$C$25)^3+'Operating Model'!$G$24/(1+Assumptions!$C$25)^4+'Operating Model'!$H$24/(1+Assumptions!$C$25)^5+'Operating Model'!$H$12*Assumptions!$C$28/(1+Assumptions!$C$25)^5+Assumptions!$C$41-Assumptions!$C$44)/Assumptions!$C$42+Assumptions!$C$32*(('Operating Model'!$E$4*Assumptions!$C$46+'Operating Model'!$E$6*Assumptions!$C$30)/(1+Assumptions!$C$23)^Assumptions!$C$45+Assumptions!$C$41-Assumptions!$C$44)/Assumptions!$C$42-Assumptions!$C$43)/Assumptions!$C$43</f>
        <v/>
      </c>
    </row>
    <row r="34" ht="16" customHeight="1">
      <c r="B34" s="4" t="inlineStr">
        <is>
          <t>Base ★</t>
        </is>
      </c>
      <c r="C34" s="43">
        <f>Assumptions!$C$23</f>
        <v/>
      </c>
      <c r="D34" s="44">
        <f>Assumptions!$C$26</f>
        <v/>
      </c>
      <c r="E34" s="44">
        <f>Assumptions!$C$29</f>
        <v/>
      </c>
      <c r="F34" s="45">
        <f>('Operating Model'!$D$24/(1+Assumptions!$C$23)^1+'Operating Model'!$E$24/(1+Assumptions!$C$23)^2+'Operating Model'!$F$24/(1+Assumptions!$C$23)^3+'Operating Model'!$G$24/(1+Assumptions!$C$23)^4+'Operating Model'!$H$24/(1+Assumptions!$C$23)^5+'Operating Model'!$H$12*Assumptions!$C$26/(1+Assumptions!$C$23)^5+Assumptions!$C$41-Assumptions!$C$44)/Assumptions!$C$42</f>
        <v/>
      </c>
      <c r="G34" s="45">
        <f>(('Operating Model'!$E$4*Assumptions!$C$29+'Operating Model'!$E$6*Assumptions!$C$30)/(1+Assumptions!$C$23)^Assumptions!$C$45+Assumptions!$C$41-Assumptions!$C$44)/Assumptions!$C$42</f>
        <v/>
      </c>
      <c r="H34" s="45">
        <f>Assumptions!$C$31*('Operating Model'!$D$24/(1+Assumptions!$C$23)^1+'Operating Model'!$E$24/(1+Assumptions!$C$23)^2+'Operating Model'!$F$24/(1+Assumptions!$C$23)^3+'Operating Model'!$G$24/(1+Assumptions!$C$23)^4+'Operating Model'!$H$24/(1+Assumptions!$C$23)^5+'Operating Model'!$H$12*Assumptions!$C$26/(1+Assumptions!$C$23)^5+Assumptions!$C$41-Assumptions!$C$44)/Assumptions!$C$42+Assumptions!$C$32*(('Operating Model'!$E$4*Assumptions!$C$29+'Operating Model'!$E$6*Assumptions!$C$30)/(1+Assumptions!$C$23)^Assumptions!$C$45+Assumptions!$C$41-Assumptions!$C$44)/Assumptions!$C$42</f>
        <v/>
      </c>
      <c r="I34" s="43">
        <f>(Assumptions!$C$31*('Operating Model'!$D$24/(1+Assumptions!$C$23)^1+'Operating Model'!$E$24/(1+Assumptions!$C$23)^2+'Operating Model'!$F$24/(1+Assumptions!$C$23)^3+'Operating Model'!$G$24/(1+Assumptions!$C$23)^4+'Operating Model'!$H$24/(1+Assumptions!$C$23)^5+'Operating Model'!$H$12*Assumptions!$C$26/(1+Assumptions!$C$23)^5+Assumptions!$C$41-Assumptions!$C$44)/Assumptions!$C$42+Assumptions!$C$32*(('Operating Model'!$E$4*Assumptions!$C$29+'Operating Model'!$E$6*Assumptions!$C$30)/(1+Assumptions!$C$23)^Assumptions!$C$45+Assumptions!$C$41-Assumptions!$C$44)/Assumptions!$C$42-Assumptions!$C$43)/Assumptions!$C$43</f>
        <v/>
      </c>
    </row>
    <row r="35" ht="16" customHeight="1">
      <c r="B35" s="12" t="inlineStr">
        <is>
          <t>Bull</t>
        </is>
      </c>
      <c r="C35" s="14">
        <f>Assumptions!$C$24</f>
        <v/>
      </c>
      <c r="D35" s="42">
        <f>Assumptions!$C$27</f>
        <v/>
      </c>
      <c r="E35" s="42">
        <f>Assumptions!$C$47</f>
        <v/>
      </c>
      <c r="F35" s="13">
        <f>('Operating Model'!$D$24/(1+Assumptions!$C$24)^1+'Operating Model'!$E$24/(1+Assumptions!$C$24)^2+'Operating Model'!$F$24/(1+Assumptions!$C$24)^3+'Operating Model'!$G$24/(1+Assumptions!$C$24)^4+'Operating Model'!$H$24/(1+Assumptions!$C$24)^5+'Operating Model'!$H$12*Assumptions!$C$27/(1+Assumptions!$C$24)^5+Assumptions!$C$41-Assumptions!$C$44)/Assumptions!$C$42</f>
        <v/>
      </c>
      <c r="G35" s="13">
        <f>(('Operating Model'!$E$4*Assumptions!$C$47+'Operating Model'!$E$6*Assumptions!$C$30)/(1+Assumptions!$C$23)^Assumptions!$C$45+Assumptions!$C$41-Assumptions!$C$44)/Assumptions!$C$42</f>
        <v/>
      </c>
      <c r="H35" s="13">
        <f>Assumptions!$C$31*('Operating Model'!$D$24/(1+Assumptions!$C$24)^1+'Operating Model'!$E$24/(1+Assumptions!$C$24)^2+'Operating Model'!$F$24/(1+Assumptions!$C$24)^3+'Operating Model'!$G$24/(1+Assumptions!$C$24)^4+'Operating Model'!$H$24/(1+Assumptions!$C$24)^5+'Operating Model'!$H$12*Assumptions!$C$27/(1+Assumptions!$C$24)^5+Assumptions!$C$41-Assumptions!$C$44)/Assumptions!$C$42+Assumptions!$C$32*(('Operating Model'!$E$4*Assumptions!$C$47+'Operating Model'!$E$6*Assumptions!$C$30)/(1+Assumptions!$C$23)^Assumptions!$C$45+Assumptions!$C$41-Assumptions!$C$44)/Assumptions!$C$42</f>
        <v/>
      </c>
      <c r="I35" s="14">
        <f>(Assumptions!$C$31*('Operating Model'!$D$24/(1+Assumptions!$C$24)^1+'Operating Model'!$E$24/(1+Assumptions!$C$24)^2+'Operating Model'!$F$24/(1+Assumptions!$C$24)^3+'Operating Model'!$G$24/(1+Assumptions!$C$24)^4+'Operating Model'!$H$24/(1+Assumptions!$C$24)^5+'Operating Model'!$H$12*Assumptions!$C$27/(1+Assumptions!$C$24)^5+Assumptions!$C$41-Assumptions!$C$44)/Assumptions!$C$42+Assumptions!$C$32*(('Operating Model'!$E$4*Assumptions!$C$47+'Operating Model'!$E$6*Assumptions!$C$30)/(1+Assumptions!$C$23)^Assumptions!$C$45+Assumptions!$C$41-Assumptions!$C$44)/Assumptions!$C$42-Assumptions!$C$43)/Assumptions!$C$43</f>
        <v/>
      </c>
    </row>
  </sheetData>
  <mergeCells count="6">
    <mergeCell ref="B3:J3"/>
    <mergeCell ref="B1:K1"/>
    <mergeCell ref="B28:J28"/>
    <mergeCell ref="B14:J14"/>
    <mergeCell ref="B31:J31"/>
    <mergeCell ref="B17:J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2026-10-15T12:16:50Z</dcterms:created>
  <dcterms:modified xsi:type="dcterms:W3CDTF">2026-10-15T12:16:50Z</dcterms:modified>
</cp:coreProperties>
</file>