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paco/career/modeling-portfolio/amd-dcf/"/>
    </mc:Choice>
  </mc:AlternateContent>
  <xr:revisionPtr revIDLastSave="0" documentId="13_ncr:1_{61C509FB-5D2A-1840-96D4-877340C914D5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Cover" sheetId="1" r:id="rId1"/>
    <sheet name="Assumptions" sheetId="2" r:id="rId2"/>
    <sheet name="Income Statement" sheetId="3" r:id="rId3"/>
    <sheet name="DCF" sheetId="4" r:id="rId4"/>
    <sheet name="Sensitivit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4" l="1"/>
  <c r="C14" i="4"/>
  <c r="H19" i="4" s="1"/>
  <c r="C13" i="4"/>
  <c r="C11" i="4"/>
  <c r="C8" i="4"/>
  <c r="J20" i="3"/>
  <c r="I20" i="3"/>
  <c r="H20" i="3"/>
  <c r="G20" i="3"/>
  <c r="F20" i="3"/>
  <c r="E20" i="3"/>
  <c r="D20" i="3"/>
  <c r="C20" i="3"/>
  <c r="J19" i="3"/>
  <c r="I19" i="3"/>
  <c r="H19" i="3"/>
  <c r="G19" i="3"/>
  <c r="F19" i="3"/>
  <c r="E19" i="3"/>
  <c r="D19" i="3"/>
  <c r="C19" i="3"/>
  <c r="J11" i="3"/>
  <c r="J18" i="3" s="1"/>
  <c r="I11" i="3"/>
  <c r="I18" i="3" s="1"/>
  <c r="H11" i="3"/>
  <c r="H18" i="3" s="1"/>
  <c r="G11" i="3"/>
  <c r="G18" i="3" s="1"/>
  <c r="F11" i="3"/>
  <c r="F18" i="3" s="1"/>
  <c r="E11" i="3"/>
  <c r="E18" i="3" s="1"/>
  <c r="D11" i="3"/>
  <c r="D18" i="3" s="1"/>
  <c r="C11" i="3"/>
  <c r="C18" i="3" s="1"/>
  <c r="C5" i="3"/>
  <c r="C7" i="3" s="1"/>
  <c r="C8" i="3" s="1"/>
  <c r="E15" i="2"/>
  <c r="E5" i="3" s="1"/>
  <c r="D15" i="2"/>
  <c r="D16" i="2" s="1"/>
  <c r="C15" i="2"/>
  <c r="F14" i="2"/>
  <c r="G14" i="2" s="1"/>
  <c r="H14" i="2" s="1"/>
  <c r="I14" i="2" s="1"/>
  <c r="J14" i="2" s="1"/>
  <c r="F13" i="2"/>
  <c r="F15" i="2" s="1"/>
  <c r="F12" i="2"/>
  <c r="G12" i="2" s="1"/>
  <c r="H12" i="2" s="1"/>
  <c r="I12" i="2" s="1"/>
  <c r="J12" i="2" s="1"/>
  <c r="F11" i="2"/>
  <c r="G11" i="2" s="1"/>
  <c r="F5" i="3" l="1"/>
  <c r="F16" i="2"/>
  <c r="E9" i="3"/>
  <c r="E6" i="3"/>
  <c r="E7" i="3"/>
  <c r="E8" i="3" s="1"/>
  <c r="H11" i="2"/>
  <c r="E16" i="2"/>
  <c r="C9" i="3"/>
  <c r="G19" i="4"/>
  <c r="G13" i="2"/>
  <c r="H13" i="2" s="1"/>
  <c r="I13" i="2" s="1"/>
  <c r="J13" i="2" s="1"/>
  <c r="E19" i="4"/>
  <c r="F19" i="4"/>
  <c r="D5" i="3"/>
  <c r="E12" i="3" l="1"/>
  <c r="E10" i="3"/>
  <c r="G15" i="2"/>
  <c r="D7" i="3"/>
  <c r="D8" i="3" s="1"/>
  <c r="D9" i="3"/>
  <c r="D6" i="3"/>
  <c r="C10" i="3"/>
  <c r="C12" i="3"/>
  <c r="I11" i="2"/>
  <c r="H15" i="2"/>
  <c r="F7" i="3"/>
  <c r="F8" i="3" s="1"/>
  <c r="F9" i="3"/>
  <c r="F6" i="3"/>
  <c r="F12" i="3" l="1"/>
  <c r="F10" i="3"/>
  <c r="I15" i="2"/>
  <c r="J11" i="2"/>
  <c r="J15" i="2" s="1"/>
  <c r="H16" i="2"/>
  <c r="H5" i="3"/>
  <c r="C13" i="3"/>
  <c r="C15" i="3"/>
  <c r="D10" i="3"/>
  <c r="D12" i="3"/>
  <c r="G5" i="3"/>
  <c r="G16" i="2"/>
  <c r="E13" i="3"/>
  <c r="E15" i="3"/>
  <c r="G9" i="3" l="1"/>
  <c r="G6" i="3"/>
  <c r="G7" i="3"/>
  <c r="G8" i="3" s="1"/>
  <c r="D13" i="3"/>
  <c r="D15" i="3"/>
  <c r="C16" i="3"/>
  <c r="C17" i="3" s="1"/>
  <c r="C21" i="3" s="1"/>
  <c r="H6" i="3"/>
  <c r="H7" i="3"/>
  <c r="H8" i="3" s="1"/>
  <c r="H9" i="3"/>
  <c r="J16" i="2"/>
  <c r="J5" i="3"/>
  <c r="I16" i="2"/>
  <c r="I5" i="3"/>
  <c r="E16" i="3"/>
  <c r="E17" i="3"/>
  <c r="E21" i="3" s="1"/>
  <c r="F13" i="3"/>
  <c r="F15" i="3"/>
  <c r="H12" i="3" l="1"/>
  <c r="H10" i="3"/>
  <c r="D16" i="3"/>
  <c r="D17" i="3" s="1"/>
  <c r="D21" i="3" s="1"/>
  <c r="I7" i="3"/>
  <c r="I8" i="3" s="1"/>
  <c r="I9" i="3"/>
  <c r="I6" i="3"/>
  <c r="J9" i="3"/>
  <c r="J6" i="3"/>
  <c r="J7" i="3"/>
  <c r="J8" i="3" s="1"/>
  <c r="F16" i="3"/>
  <c r="F17" i="3"/>
  <c r="F21" i="3" s="1"/>
  <c r="D17" i="4" s="1"/>
  <c r="D20" i="4" s="1"/>
  <c r="G10" i="3"/>
  <c r="G12" i="3"/>
  <c r="I10" i="3" l="1"/>
  <c r="I12" i="3"/>
  <c r="G15" i="3"/>
  <c r="G13" i="3"/>
  <c r="J10" i="3"/>
  <c r="J12" i="3"/>
  <c r="H15" i="3"/>
  <c r="H13" i="3"/>
  <c r="H16" i="3" l="1"/>
  <c r="H17" i="3" s="1"/>
  <c r="H21" i="3" s="1"/>
  <c r="F17" i="4" s="1"/>
  <c r="F20" i="4" s="1"/>
  <c r="J13" i="3"/>
  <c r="J15" i="3"/>
  <c r="G16" i="3"/>
  <c r="G17" i="3" s="1"/>
  <c r="G21" i="3" s="1"/>
  <c r="E17" i="4" s="1"/>
  <c r="E20" i="4" s="1"/>
  <c r="I13" i="3"/>
  <c r="I15" i="3"/>
  <c r="I16" i="3" l="1"/>
  <c r="I17" i="3" s="1"/>
  <c r="I21" i="3" s="1"/>
  <c r="G17" i="4" s="1"/>
  <c r="G20" i="4" s="1"/>
  <c r="J16" i="3"/>
  <c r="J17" i="3" s="1"/>
  <c r="J21" i="3" s="1"/>
  <c r="H17" i="4" s="1"/>
  <c r="C24" i="4" l="1"/>
  <c r="C25" i="4" s="1"/>
  <c r="C26" i="4" s="1"/>
  <c r="H20" i="4"/>
  <c r="C22" i="4"/>
  <c r="C27" i="4" s="1"/>
  <c r="C30" i="4" s="1"/>
  <c r="C32" i="4" s="1"/>
  <c r="C34" i="4" s="1"/>
</calcChain>
</file>

<file path=xl/sharedStrings.xml><?xml version="1.0" encoding="utf-8"?>
<sst xmlns="http://schemas.openxmlformats.org/spreadsheetml/2006/main" count="218" uniqueCount="179">
  <si>
    <t>Advanced Micro Devices, Inc.  (NASDAQ: AMD)</t>
  </si>
  <si>
    <t>Equity Research  |  Initiating Coverage  |  February 2026</t>
  </si>
  <si>
    <t>Semiconductors &amp; Semiconductor Equipment  |  Francisco Rodriguez</t>
  </si>
  <si>
    <t>RATING
OVERWEIGHT</t>
  </si>
  <si>
    <t>PRICE TARGET
$145</t>
  </si>
  <si>
    <t>CURRENT PRICE
$120¹</t>
  </si>
  <si>
    <t>UPSIDE
+20.8%</t>
  </si>
  <si>
    <t>KEY STATISTICS</t>
  </si>
  <si>
    <t>RETURNS SUMMARY  (Base Case DCF)</t>
  </si>
  <si>
    <t>Fiscal Year End</t>
  </si>
  <si>
    <t>December</t>
  </si>
  <si>
    <t>Implied Price Target</t>
  </si>
  <si>
    <t>$145</t>
  </si>
  <si>
    <t>Shares Outstanding</t>
  </si>
  <si>
    <t>1,620M</t>
  </si>
  <si>
    <t>Bull Case Price</t>
  </si>
  <si>
    <t>$205</t>
  </si>
  <si>
    <t>Market Cap (current)</t>
  </si>
  <si>
    <t>~$194B</t>
  </si>
  <si>
    <t>Bear Case Price</t>
  </si>
  <si>
    <t>$68</t>
  </si>
  <si>
    <t>Enterprise Value</t>
  </si>
  <si>
    <t>~$190B</t>
  </si>
  <si>
    <t>Base WACC</t>
  </si>
  <si>
    <t>9.0%</t>
  </si>
  <si>
    <t>Net Cash</t>
  </si>
  <si>
    <t>~$4.0B</t>
  </si>
  <si>
    <t>Terminal Growth Rate</t>
  </si>
  <si>
    <t>3.5%</t>
  </si>
  <si>
    <t>FY2024A Revenue</t>
  </si>
  <si>
    <t>$25.8B</t>
  </si>
  <si>
    <t>Revenue CAGR '24-'29</t>
  </si>
  <si>
    <t>17.9%</t>
  </si>
  <si>
    <t>FY2024A EBITDA</t>
  </si>
  <si>
    <t>$4.2B (GAAP)</t>
  </si>
  <si>
    <t>Exit EBITDA Margin</t>
  </si>
  <si>
    <t>29.0%</t>
  </si>
  <si>
    <t>NTM P/E (Non-GAAP)</t>
  </si>
  <si>
    <t>~27x</t>
  </si>
  <si>
    <t>Upside to PT</t>
  </si>
  <si>
    <t>+20.8%</t>
  </si>
  <si>
    <t>INVESTMENT THESIS</t>
  </si>
  <si>
    <t>AMD is the last credible challenger to Nvidia in AI accelerator silicon and the clear winner of Intel's CPU meltdown. We initiate with Overweight and a $145 price target based on a 5-year DCF reflecting 18% revenue CAGR and 2,900 bps of EBITDA margin expansion as mix shifts toward high-margin Data Center. Four catalysts underpin our thesis:</t>
  </si>
  <si>
    <t>1.  Data Center GPU Ramp</t>
  </si>
  <si>
    <t>MI300X / MI350 series positions AMD as the only credible alternative to Nvidia H100/B200. Enterprise buyers increasingly dual-source to reduce Nvidia dependency. Data Center segment grew 94% YoY in FY2024 to $12.6B and we model 35% CAGR through FY2026.</t>
  </si>
  <si>
    <t>2.  CPU Market Share Gains</t>
  </si>
  <si>
    <t>Intel's manufacturing struggles (10nm+ delays, Sapphire Rapids missteps, CEO instability) have structurally shifted server CPU share to AMD EPYC. EPYC now runs in 4 of 5 top cloud hyperscalers. Client Ryzen continues gaining in notebooks and gaming PCs.</t>
  </si>
  <si>
    <t>3.  Operating Leverage</t>
  </si>
  <si>
    <t>AMD's fabless model means incremental Data Center revenue drops at 65–70% gross margins. As Xilinx amortization rolls off ($3.8B/yr declining to $2.4B by FY2029), GAAP EBIT will reconnect with cash earnings — creating a natural re-rating catalyst.</t>
  </si>
  <si>
    <t>4.  Xilinx Embedded Recovery</t>
  </si>
  <si>
    <t>Embedded segment collapsed from $5.4B (FY2023) to $3.6B (FY2024) due to customer inventory digestion. Recovery underway — Xilinx FPGAs have no direct competitor and serve aerospace, automotive, and industrial end markets with multi-year design-in cycles.</t>
  </si>
  <si>
    <t>KEY RISKS</t>
  </si>
  <si>
    <t>▪  Nvidia moat</t>
  </si>
  <si>
    <t>H100/B200/B300 dominance in CUDA ecosystem; AMD ROCm software lags materially</t>
  </si>
  <si>
    <t>▪  Execution risk</t>
  </si>
  <si>
    <t>AMD historically strong on roadmap; any slip in MI400 timeline re-rates stock</t>
  </si>
  <si>
    <t>▪  Cyclicality</t>
  </si>
  <si>
    <t>Semi cycle downturn could hit Client and Gaming segments simultaneously</t>
  </si>
  <si>
    <t>▪  Multiple risk</t>
  </si>
  <si>
    <t>Stock already prices in bull case execution; miss on DC revenue is asymmetric</t>
  </si>
  <si>
    <t>¹ Current price as of model build date. Update cell DCF!D28 to refresh implied upside/downside.  All figures in USD millions unless noted.  Sources: AMD 10-K (FY2022–FY2024), analyst consensus.</t>
  </si>
  <si>
    <t>AMD — Model Assumptions</t>
  </si>
  <si>
    <t>Metric</t>
  </si>
  <si>
    <t>FY2022A</t>
  </si>
  <si>
    <t>FY2023A</t>
  </si>
  <si>
    <t>FY2024A</t>
  </si>
  <si>
    <t>FY2025E</t>
  </si>
  <si>
    <t>FY2026E</t>
  </si>
  <si>
    <t>FY2027E</t>
  </si>
  <si>
    <t>FY2028E</t>
  </si>
  <si>
    <t>FY2029E</t>
  </si>
  <si>
    <t>REVENUE GROWTH ASSUMPTIONS  (% YoY)</t>
  </si>
  <si>
    <t>Data Center</t>
  </si>
  <si>
    <t>—</t>
  </si>
  <si>
    <t>Client</t>
  </si>
  <si>
    <t>Gaming</t>
  </si>
  <si>
    <t>Embedded</t>
  </si>
  <si>
    <t>REVENUE BY SEGMENT  ($M)</t>
  </si>
  <si>
    <t>Total Revenue</t>
  </si>
  <si>
    <t>YoY Growth %</t>
  </si>
  <si>
    <t>MARGIN &amp; P&amp;L ASSUMPTIONS</t>
  </si>
  <si>
    <t>Gross Margin %</t>
  </si>
  <si>
    <t>EBITDA Margin %</t>
  </si>
  <si>
    <t>D&amp;A ($M)</t>
  </si>
  <si>
    <t>Tax Rate %</t>
  </si>
  <si>
    <t>Capex ($M)</t>
  </si>
  <si>
    <t>Δ Working Cap ($M)</t>
  </si>
  <si>
    <t>AMD — Income Statement &amp; Free Cash Flow Build ($M)</t>
  </si>
  <si>
    <t>INCOME STATEMENT</t>
  </si>
  <si>
    <t>Revenue</t>
  </si>
  <si>
    <t xml:space="preserve">  YoY Growth</t>
  </si>
  <si>
    <t>Gross Profit</t>
  </si>
  <si>
    <t xml:space="preserve">  Gross Margin %</t>
  </si>
  <si>
    <t>EBITDA</t>
  </si>
  <si>
    <t xml:space="preserve">  EBITDA Margin %</t>
  </si>
  <si>
    <t>Less: D&amp;A (incl. acquisition amortization)</t>
  </si>
  <si>
    <t>EBIT (Operating Income)</t>
  </si>
  <si>
    <t xml:space="preserve">  EBIT Margin %</t>
  </si>
  <si>
    <t>UNLEVERED FREE CASH FLOW BUILD</t>
  </si>
  <si>
    <t>EBIT</t>
  </si>
  <si>
    <t xml:space="preserve">  Less: Taxes</t>
  </si>
  <si>
    <t>NOPAT</t>
  </si>
  <si>
    <t xml:space="preserve">  Plus: D&amp;A</t>
  </si>
  <si>
    <t xml:space="preserve">  Less: Capital Expenditures</t>
  </si>
  <si>
    <t xml:space="preserve">  Less: Δ Working Capital</t>
  </si>
  <si>
    <t>Unlevered Free Cash Flow</t>
  </si>
  <si>
    <t>AMD — Discounted Cash Flow Analysis ($M)</t>
  </si>
  <si>
    <t>Input / Assumption</t>
  </si>
  <si>
    <t>WACC BUILD</t>
  </si>
  <si>
    <t>Risk-Free Rate (10-yr Treasury)</t>
  </si>
  <si>
    <t>Equity Risk Premium (ERP)</t>
  </si>
  <si>
    <t>Levered Beta</t>
  </si>
  <si>
    <t>Cost of Equity  [Rf + β × ERP]</t>
  </si>
  <si>
    <t>Pre-Tax Cost of Debt</t>
  </si>
  <si>
    <t>Effective Tax Rate</t>
  </si>
  <si>
    <t>After-Tax Cost of Debt  [Kd×(1-t)]</t>
  </si>
  <si>
    <t>Debt / Total Capital</t>
  </si>
  <si>
    <t>Equity / Total Capital</t>
  </si>
  <si>
    <t>WACC  [Ke×We + Kd×Wd]</t>
  </si>
  <si>
    <t>DCF — FREE CASH FLOW PROJECTION</t>
  </si>
  <si>
    <t>Notes</t>
  </si>
  <si>
    <t>← Income Statement</t>
  </si>
  <si>
    <t>Discount Period (mid-year convention)</t>
  </si>
  <si>
    <t>0.5, 1.5, 2.5 …</t>
  </si>
  <si>
    <t>Discount Factor  [1/(1+WACC)^t]</t>
  </si>
  <si>
    <t>PV of Free Cash Flow</t>
  </si>
  <si>
    <t>TERMINAL VALUE &amp; ENTERPRISE VALUE BRIDGE</t>
  </si>
  <si>
    <t>Sum of PV (FCFs)</t>
  </si>
  <si>
    <t>Terminal Growth Rate (g)</t>
  </si>
  <si>
    <t>Terminal Year FCF  (FY2029E × (1+g))</t>
  </si>
  <si>
    <t>Terminal Value  [FCF_T+1 / (WACC-g)]</t>
  </si>
  <si>
    <t>PV of Terminal Value</t>
  </si>
  <si>
    <t>Enterprise Value  [PV(FCFs) + PV(TV)]</t>
  </si>
  <si>
    <t>Plus: Cash &amp; Equivalents</t>
  </si>
  <si>
    <t>Less: Total Debt</t>
  </si>
  <si>
    <t>Equity Value</t>
  </si>
  <si>
    <t>Shares Outstanding (M)</t>
  </si>
  <si>
    <t>Implied Price Per Share</t>
  </si>
  <si>
    <t>Current Price (update manually)</t>
  </si>
  <si>
    <t>Implied Upside / (Downside)</t>
  </si>
  <si>
    <t>AMD — Sensitivity Analysis</t>
  </si>
  <si>
    <t>SENSITIVITY TABLE 1  — Implied Share Price by WACC × Terminal Growth Rate</t>
  </si>
  <si>
    <t>TGR  ↓</t>
  </si>
  <si>
    <t>SENSITIVITY TABLE 2  — Bull / Base / Bear Scenario Summary</t>
  </si>
  <si>
    <t>Bear Case</t>
  </si>
  <si>
    <t>Base Case</t>
  </si>
  <si>
    <t>Bull Case</t>
  </si>
  <si>
    <t>Revenue CAGR (2024–2029)</t>
  </si>
  <si>
    <t>10.5%</t>
  </si>
  <si>
    <t>24.3%</t>
  </si>
  <si>
    <t>20.0%</t>
  </si>
  <si>
    <t>35.0%</t>
  </si>
  <si>
    <t>WACC</t>
  </si>
  <si>
    <t>11.0%</t>
  </si>
  <si>
    <t>8.5%</t>
  </si>
  <si>
    <t>3.0%</t>
  </si>
  <si>
    <t>4.0%</t>
  </si>
  <si>
    <t>Upside / (Downside) vs $120</t>
  </si>
  <si>
    <t>SENSITIVITY TABLE 3  — Price Target vs. Data Center Revenue Growth Assumption</t>
  </si>
  <si>
    <t>Scenario</t>
  </si>
  <si>
    <t>DC Rev FY2029E</t>
  </si>
  <si>
    <t>Implied Price</t>
  </si>
  <si>
    <t>Upside</t>
  </si>
  <si>
    <t>Probability</t>
  </si>
  <si>
    <t>Commentary</t>
  </si>
  <si>
    <t>Downside: DC 20% CAGR</t>
  </si>
  <si>
    <t>20%</t>
  </si>
  <si>
    <t>DC growth at 20% — minimal share gains vs. Nvidia</t>
  </si>
  <si>
    <t>Base: DC 28% CAGR</t>
  </si>
  <si>
    <t>40%</t>
  </si>
  <si>
    <t>DC growth at 28% — modest share gains</t>
  </si>
  <si>
    <t>Bull: DC 40% CAGR</t>
  </si>
  <si>
    <t>30%</t>
  </si>
  <si>
    <t>DC growth at 40% — AMD captures 15%+ of AI accelerator market</t>
  </si>
  <si>
    <t>Super Bull: DC 55% CAGR</t>
  </si>
  <si>
    <t>10%</t>
  </si>
  <si>
    <t>DC growth at 55% — AMD closes gap with Nvidia significantly</t>
  </si>
  <si>
    <t>Probability-Weighted Price Target</t>
  </si>
  <si>
    <t>PT: $154  (+28.8% upside)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</si>
</sst>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0.0000"/>
    <numFmt numFmtId="167" formatCode="&quot;$&quot;#,##0.00"/>
  </numFmts>
  <fonts count="20" x14ac:knownFonts="1">
    <font>
      <sz val="11"/>
      <color theme="1"/>
      <name val="Calibri"/>
      <family val="2"/>
      <scheme val="minor"/>
    </font>
    <font>
      <b/>
      <sz val="20"/>
      <color rgb="FF1F3864"/>
      <name val="Calibri"/>
      <family val="2"/>
    </font>
    <font>
      <i/>
      <sz val="10"/>
      <color rgb="FF595959"/>
      <name val="Calibri"/>
      <family val="2"/>
    </font>
    <font>
      <sz val="9"/>
      <color rgb="FF595959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sz val="8"/>
      <color rgb="FF1F1F1F"/>
      <name val="Calibri"/>
      <family val="2"/>
    </font>
    <font>
      <b/>
      <sz val="8"/>
      <color rgb="FF1F3864"/>
      <name val="Calibri"/>
      <family val="2"/>
    </font>
    <font>
      <b/>
      <sz val="8"/>
      <color rgb="FFC00000"/>
      <name val="Calibri"/>
      <family val="2"/>
    </font>
    <font>
      <i/>
      <sz val="7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1F1F"/>
      <name val="Calibri"/>
      <family val="2"/>
    </font>
    <font>
      <sz val="9"/>
      <color rgb="FF1F3864"/>
      <name val="Calibri"/>
      <family val="2"/>
    </font>
    <font>
      <b/>
      <sz val="9"/>
      <color rgb="FF1F1F1F"/>
      <name val="Calibri"/>
      <family val="2"/>
    </font>
    <font>
      <i/>
      <sz val="9"/>
      <color rgb="FF1F1F1F"/>
      <name val="Calibri"/>
      <family val="2"/>
    </font>
    <font>
      <b/>
      <sz val="9"/>
      <color rgb="FF1F3864"/>
      <name val="Calibri"/>
      <family val="2"/>
    </font>
    <font>
      <b/>
      <sz val="9"/>
      <color rgb="FF375623"/>
      <name val="Calibri"/>
      <family val="2"/>
    </font>
    <font>
      <sz val="9"/>
      <color rgb="FF375623"/>
      <name val="Calibri"/>
      <family val="2"/>
    </font>
    <font>
      <sz val="9"/>
      <color rgb="FF9C5700"/>
      <name val="Calibri"/>
      <family val="2"/>
    </font>
    <font>
      <b/>
      <sz val="9"/>
      <color rgb="FFC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17375E"/>
      </patternFill>
    </fill>
    <fill>
      <patternFill patternType="solid">
        <fgColor rgb="FF375623"/>
      </patternFill>
    </fill>
    <fill>
      <patternFill patternType="solid">
        <fgColor rgb="FFF5F5F5"/>
      </patternFill>
    </fill>
    <fill>
      <patternFill patternType="solid">
        <fgColor rgb="FFDBE5F1"/>
      </patternFill>
    </fill>
    <fill>
      <patternFill patternType="solid">
        <fgColor rgb="FFEBF1D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2" borderId="0" xfId="0" applyFill="1"/>
    <xf numFmtId="0" fontId="0" fillId="3" borderId="0" xfId="0" applyFill="1"/>
    <xf numFmtId="0" fontId="7" fillId="6" borderId="0" xfId="0" applyFont="1" applyFill="1" applyAlignment="1">
      <alignment horizontal="right" vertical="center"/>
    </xf>
    <xf numFmtId="0" fontId="0" fillId="6" borderId="0" xfId="0" applyFill="1"/>
    <xf numFmtId="0" fontId="7" fillId="0" borderId="0" xfId="0" applyFont="1" applyAlignment="1">
      <alignment horizontal="right" vertical="center"/>
    </xf>
    <xf numFmtId="0" fontId="8" fillId="6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0" fillId="3" borderId="0" xfId="0" applyFont="1" applyFill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left" vertical="center" indent="1"/>
    </xf>
    <xf numFmtId="0" fontId="3" fillId="6" borderId="0" xfId="0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right" vertical="center"/>
    </xf>
    <xf numFmtId="164" fontId="12" fillId="7" borderId="0" xfId="0" applyNumberFormat="1" applyFont="1" applyFill="1" applyAlignment="1">
      <alignment horizontal="right" vertical="center"/>
    </xf>
    <xf numFmtId="0" fontId="11" fillId="0" borderId="0" xfId="0" applyFont="1" applyAlignment="1">
      <alignment horizontal="left" vertical="center" indent="1"/>
    </xf>
    <xf numFmtId="0" fontId="3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right" vertical="center"/>
    </xf>
    <xf numFmtId="3" fontId="12" fillId="7" borderId="0" xfId="0" applyNumberFormat="1" applyFont="1" applyFill="1" applyAlignment="1">
      <alignment horizontal="right" vertical="center"/>
    </xf>
    <xf numFmtId="3" fontId="11" fillId="6" borderId="0" xfId="0" applyNumberFormat="1" applyFont="1" applyFill="1" applyAlignment="1">
      <alignment horizontal="right" vertical="center"/>
    </xf>
    <xf numFmtId="3" fontId="11" fillId="0" borderId="0" xfId="0" applyNumberFormat="1" applyFont="1" applyAlignment="1">
      <alignment horizontal="right" vertical="center"/>
    </xf>
    <xf numFmtId="0" fontId="13" fillId="6" borderId="0" xfId="0" applyFont="1" applyFill="1" applyAlignment="1">
      <alignment horizontal="left" vertical="center"/>
    </xf>
    <xf numFmtId="3" fontId="13" fillId="6" borderId="0" xfId="0" applyNumberFormat="1" applyFont="1" applyFill="1" applyAlignment="1">
      <alignment horizontal="right" vertical="center"/>
    </xf>
    <xf numFmtId="0" fontId="14" fillId="0" borderId="0" xfId="0" applyFont="1" applyAlignment="1">
      <alignment horizontal="left" vertical="center" indent="1"/>
    </xf>
    <xf numFmtId="3" fontId="11" fillId="8" borderId="0" xfId="0" applyNumberFormat="1" applyFont="1" applyFill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3" fillId="0" borderId="0" xfId="0" applyFont="1" applyAlignment="1">
      <alignment horizontal="left" vertical="center"/>
    </xf>
    <xf numFmtId="3" fontId="13" fillId="0" borderId="0" xfId="0" applyNumberFormat="1" applyFont="1" applyAlignment="1">
      <alignment horizontal="right" vertical="center"/>
    </xf>
    <xf numFmtId="3" fontId="15" fillId="6" borderId="0" xfId="0" applyNumberFormat="1" applyFont="1" applyFill="1" applyAlignment="1">
      <alignment horizontal="right" vertical="center"/>
    </xf>
    <xf numFmtId="10" fontId="12" fillId="7" borderId="0" xfId="0" applyNumberFormat="1" applyFont="1" applyFill="1" applyAlignment="1">
      <alignment horizontal="right" vertical="center"/>
    </xf>
    <xf numFmtId="0" fontId="11" fillId="0" borderId="0" xfId="0" applyFont="1" applyAlignment="1">
      <alignment horizontal="left" vertical="center"/>
    </xf>
    <xf numFmtId="2" fontId="12" fillId="7" borderId="0" xfId="0" applyNumberFormat="1" applyFont="1" applyFill="1" applyAlignment="1">
      <alignment horizontal="right" vertical="center"/>
    </xf>
    <xf numFmtId="10" fontId="13" fillId="0" borderId="0" xfId="0" applyNumberFormat="1" applyFont="1" applyAlignment="1">
      <alignment horizontal="right" vertical="center"/>
    </xf>
    <xf numFmtId="10" fontId="11" fillId="6" borderId="0" xfId="0" applyNumberFormat="1" applyFont="1" applyFill="1" applyAlignment="1">
      <alignment horizontal="right" vertical="center"/>
    </xf>
    <xf numFmtId="10" fontId="15" fillId="0" borderId="0" xfId="0" applyNumberFormat="1" applyFont="1" applyAlignment="1">
      <alignment horizontal="right" vertical="center"/>
    </xf>
    <xf numFmtId="165" fontId="12" fillId="7" borderId="0" xfId="0" applyNumberFormat="1" applyFont="1" applyFill="1" applyAlignment="1">
      <alignment horizontal="right" vertical="center"/>
    </xf>
    <xf numFmtId="166" fontId="11" fillId="6" borderId="0" xfId="0" applyNumberFormat="1" applyFont="1" applyFill="1" applyAlignment="1">
      <alignment horizontal="right" vertical="center"/>
    </xf>
    <xf numFmtId="0" fontId="13" fillId="7" borderId="0" xfId="0" applyFont="1" applyFill="1" applyAlignment="1">
      <alignment horizontal="left" vertical="center"/>
    </xf>
    <xf numFmtId="3" fontId="15" fillId="7" borderId="0" xfId="0" applyNumberFormat="1" applyFont="1" applyFill="1" applyAlignment="1">
      <alignment horizontal="right" vertical="center"/>
    </xf>
    <xf numFmtId="0" fontId="0" fillId="7" borderId="0" xfId="0" applyFill="1"/>
    <xf numFmtId="167" fontId="12" fillId="7" borderId="0" xfId="0" applyNumberFormat="1" applyFont="1" applyFill="1" applyAlignment="1">
      <alignment horizontal="right" vertical="center"/>
    </xf>
    <xf numFmtId="167" fontId="15" fillId="7" borderId="0" xfId="0" applyNumberFormat="1" applyFont="1" applyFill="1" applyAlignment="1">
      <alignment horizontal="right" vertical="center"/>
    </xf>
    <xf numFmtId="164" fontId="15" fillId="7" borderId="0" xfId="0" applyNumberFormat="1" applyFont="1" applyFill="1" applyAlignment="1">
      <alignment horizontal="right" vertical="center"/>
    </xf>
    <xf numFmtId="0" fontId="10" fillId="3" borderId="0" xfId="0" applyFont="1" applyFill="1" applyAlignment="1">
      <alignment horizontal="right" vertical="center"/>
    </xf>
    <xf numFmtId="164" fontId="10" fillId="3" borderId="0" xfId="0" applyNumberFormat="1" applyFont="1" applyFill="1" applyAlignment="1">
      <alignment horizontal="center" vertical="center"/>
    </xf>
    <xf numFmtId="167" fontId="16" fillId="9" borderId="0" xfId="0" applyNumberFormat="1" applyFont="1" applyFill="1" applyAlignment="1">
      <alignment horizontal="center" vertical="center"/>
    </xf>
    <xf numFmtId="167" fontId="17" fillId="8" borderId="0" xfId="0" applyNumberFormat="1" applyFont="1" applyFill="1" applyAlignment="1">
      <alignment horizontal="center" vertical="center"/>
    </xf>
    <xf numFmtId="167" fontId="0" fillId="6" borderId="0" xfId="0" applyNumberFormat="1" applyFill="1" applyAlignment="1">
      <alignment horizontal="center" vertical="center"/>
    </xf>
    <xf numFmtId="167" fontId="18" fillId="10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167" fontId="11" fillId="6" borderId="0" xfId="0" applyNumberFormat="1" applyFont="1" applyFill="1" applyAlignment="1">
      <alignment horizontal="right" vertical="center"/>
    </xf>
    <xf numFmtId="164" fontId="16" fillId="6" borderId="0" xfId="0" applyNumberFormat="1" applyFont="1" applyFill="1" applyAlignment="1">
      <alignment horizontal="right" vertical="center"/>
    </xf>
    <xf numFmtId="49" fontId="11" fillId="6" borderId="0" xfId="0" applyNumberFormat="1" applyFont="1" applyFill="1" applyAlignment="1">
      <alignment horizontal="center" vertical="center"/>
    </xf>
    <xf numFmtId="167" fontId="15" fillId="0" borderId="0" xfId="0" applyNumberFormat="1" applyFont="1" applyAlignment="1">
      <alignment horizontal="right" vertical="center"/>
    </xf>
    <xf numFmtId="164" fontId="16" fillId="0" borderId="0" xfId="0" applyNumberFormat="1" applyFont="1" applyAlignment="1">
      <alignment horizontal="right" vertical="center"/>
    </xf>
    <xf numFmtId="49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right" vertical="center"/>
    </xf>
    <xf numFmtId="167" fontId="15" fillId="6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left" vertical="center"/>
    </xf>
    <xf numFmtId="0" fontId="0" fillId="0" borderId="0" xfId="0"/>
    <xf numFmtId="0" fontId="6" fillId="6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4" fillId="4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left" vertical="top" wrapText="1"/>
    </xf>
    <xf numFmtId="0" fontId="6" fillId="6" borderId="0" xfId="0" applyFont="1" applyFill="1" applyAlignment="1">
      <alignment horizontal="left" vertical="top" wrapText="1"/>
    </xf>
    <xf numFmtId="0" fontId="5" fillId="4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67" fontId="15" fillId="7" borderId="0" xfId="0" applyNumberFormat="1" applyFont="1" applyFill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5" fillId="6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showGridLines="0" tabSelected="1" workbookViewId="0"/>
  </sheetViews>
  <sheetFormatPr baseColWidth="10" defaultColWidth="8.83203125" defaultRowHeight="15" x14ac:dyDescent="0.2"/>
  <cols>
    <col min="1" max="1" width="1.5" customWidth="1"/>
    <col min="2" max="2" width="16" customWidth="1"/>
    <col min="3" max="8" width="14" customWidth="1"/>
    <col min="9" max="9" width="10" customWidth="1"/>
  </cols>
  <sheetData>
    <row r="1" spans="1:9" ht="5" customHeight="1" x14ac:dyDescent="0.2">
      <c r="A1" s="1"/>
      <c r="B1" s="1"/>
      <c r="C1" s="1"/>
      <c r="D1" s="1"/>
      <c r="E1" s="1"/>
      <c r="F1" s="1"/>
      <c r="G1" s="1"/>
      <c r="H1" s="1"/>
      <c r="I1" s="1"/>
    </row>
    <row r="2" spans="1:9" ht="5" customHeight="1" x14ac:dyDescent="0.2">
      <c r="A2" s="1"/>
      <c r="B2" s="1"/>
      <c r="C2" s="1"/>
      <c r="D2" s="1"/>
      <c r="E2" s="1"/>
      <c r="F2" s="1"/>
      <c r="G2" s="1"/>
      <c r="H2" s="1"/>
      <c r="I2" s="1"/>
    </row>
    <row r="3" spans="1:9" ht="40" customHeight="1" x14ac:dyDescent="0.2">
      <c r="B3" s="66" t="s">
        <v>0</v>
      </c>
      <c r="C3" s="62"/>
      <c r="D3" s="62"/>
      <c r="E3" s="62"/>
      <c r="F3" s="62"/>
      <c r="G3" s="62"/>
      <c r="H3" s="62"/>
      <c r="I3" s="62"/>
    </row>
    <row r="4" spans="1:9" ht="16" customHeight="1" x14ac:dyDescent="0.2">
      <c r="B4" s="80" t="s">
        <v>1</v>
      </c>
      <c r="C4" s="62"/>
      <c r="D4" s="62"/>
      <c r="E4" s="62"/>
      <c r="F4" s="62"/>
      <c r="G4" s="62"/>
      <c r="H4" s="62"/>
      <c r="I4" s="62"/>
    </row>
    <row r="5" spans="1:9" ht="14" customHeight="1" x14ac:dyDescent="0.2">
      <c r="B5" s="77" t="s">
        <v>2</v>
      </c>
      <c r="C5" s="62"/>
      <c r="D5" s="62"/>
      <c r="E5" s="62"/>
      <c r="F5" s="62"/>
      <c r="G5" s="62"/>
      <c r="H5" s="62"/>
      <c r="I5" s="62"/>
    </row>
    <row r="6" spans="1:9" ht="4" customHeight="1" x14ac:dyDescent="0.2">
      <c r="A6" s="2"/>
      <c r="B6" s="2"/>
      <c r="C6" s="2"/>
      <c r="D6" s="2"/>
      <c r="E6" s="2"/>
      <c r="F6" s="2"/>
      <c r="G6" s="2"/>
      <c r="H6" s="2"/>
      <c r="I6" s="2"/>
    </row>
    <row r="7" spans="1:9" ht="38" customHeight="1" x14ac:dyDescent="0.2">
      <c r="B7" s="65" t="s">
        <v>3</v>
      </c>
      <c r="C7" s="62"/>
      <c r="D7" s="74" t="s">
        <v>4</v>
      </c>
      <c r="E7" s="62"/>
      <c r="F7" s="69" t="s">
        <v>5</v>
      </c>
      <c r="G7" s="62"/>
      <c r="H7" s="75" t="s">
        <v>6</v>
      </c>
      <c r="I7" s="62"/>
    </row>
    <row r="8" spans="1:9" ht="8" customHeight="1" x14ac:dyDescent="0.2"/>
    <row r="9" spans="1:9" ht="14" customHeight="1" x14ac:dyDescent="0.2">
      <c r="B9" s="61" t="s">
        <v>7</v>
      </c>
      <c r="C9" s="62"/>
      <c r="D9" s="62"/>
      <c r="E9" s="62"/>
      <c r="F9" s="61" t="s">
        <v>8</v>
      </c>
      <c r="G9" s="62"/>
      <c r="H9" s="62"/>
    </row>
    <row r="10" spans="1:9" ht="13" customHeight="1" x14ac:dyDescent="0.2">
      <c r="B10" s="63" t="s">
        <v>9</v>
      </c>
      <c r="C10" s="62"/>
      <c r="D10" s="3" t="s">
        <v>10</v>
      </c>
      <c r="E10" s="4"/>
      <c r="F10" s="63" t="s">
        <v>11</v>
      </c>
      <c r="G10" s="62"/>
      <c r="H10" s="3" t="s">
        <v>12</v>
      </c>
    </row>
    <row r="11" spans="1:9" ht="13" customHeight="1" x14ac:dyDescent="0.2">
      <c r="B11" s="64" t="s">
        <v>13</v>
      </c>
      <c r="C11" s="62"/>
      <c r="D11" s="5" t="s">
        <v>14</v>
      </c>
      <c r="F11" s="64" t="s">
        <v>15</v>
      </c>
      <c r="G11" s="62"/>
      <c r="H11" s="5" t="s">
        <v>16</v>
      </c>
    </row>
    <row r="12" spans="1:9" ht="13" customHeight="1" x14ac:dyDescent="0.2">
      <c r="B12" s="63" t="s">
        <v>17</v>
      </c>
      <c r="C12" s="62"/>
      <c r="D12" s="3" t="s">
        <v>18</v>
      </c>
      <c r="E12" s="4"/>
      <c r="F12" s="63" t="s">
        <v>19</v>
      </c>
      <c r="G12" s="62"/>
      <c r="H12" s="3" t="s">
        <v>20</v>
      </c>
    </row>
    <row r="13" spans="1:9" ht="13" customHeight="1" x14ac:dyDescent="0.2">
      <c r="B13" s="64" t="s">
        <v>21</v>
      </c>
      <c r="C13" s="62"/>
      <c r="D13" s="5" t="s">
        <v>22</v>
      </c>
      <c r="F13" s="64" t="s">
        <v>23</v>
      </c>
      <c r="G13" s="62"/>
      <c r="H13" s="5" t="s">
        <v>24</v>
      </c>
    </row>
    <row r="14" spans="1:9" ht="13" customHeight="1" x14ac:dyDescent="0.2">
      <c r="B14" s="63" t="s">
        <v>25</v>
      </c>
      <c r="C14" s="62"/>
      <c r="D14" s="3" t="s">
        <v>26</v>
      </c>
      <c r="E14" s="4"/>
      <c r="F14" s="63" t="s">
        <v>27</v>
      </c>
      <c r="G14" s="62"/>
      <c r="H14" s="3" t="s">
        <v>28</v>
      </c>
    </row>
    <row r="15" spans="1:9" ht="13" customHeight="1" x14ac:dyDescent="0.2">
      <c r="B15" s="64" t="s">
        <v>29</v>
      </c>
      <c r="C15" s="62"/>
      <c r="D15" s="5" t="s">
        <v>30</v>
      </c>
      <c r="F15" s="64" t="s">
        <v>31</v>
      </c>
      <c r="G15" s="62"/>
      <c r="H15" s="5" t="s">
        <v>32</v>
      </c>
    </row>
    <row r="16" spans="1:9" ht="13" customHeight="1" x14ac:dyDescent="0.2">
      <c r="B16" s="63" t="s">
        <v>33</v>
      </c>
      <c r="C16" s="62"/>
      <c r="D16" s="3" t="s">
        <v>34</v>
      </c>
      <c r="E16" s="4"/>
      <c r="F16" s="63" t="s">
        <v>35</v>
      </c>
      <c r="G16" s="62"/>
      <c r="H16" s="3" t="s">
        <v>36</v>
      </c>
    </row>
    <row r="17" spans="2:9" ht="13" customHeight="1" x14ac:dyDescent="0.2">
      <c r="B17" s="64" t="s">
        <v>37</v>
      </c>
      <c r="C17" s="62"/>
      <c r="D17" s="5" t="s">
        <v>38</v>
      </c>
      <c r="F17" s="64" t="s">
        <v>39</v>
      </c>
      <c r="G17" s="62"/>
      <c r="H17" s="5" t="s">
        <v>40</v>
      </c>
    </row>
    <row r="19" spans="2:9" ht="8" customHeight="1" x14ac:dyDescent="0.2">
      <c r="B19" s="78" t="s">
        <v>41</v>
      </c>
      <c r="C19" s="62"/>
      <c r="D19" s="62"/>
      <c r="E19" s="62"/>
      <c r="F19" s="62"/>
      <c r="G19" s="62"/>
      <c r="H19" s="62"/>
    </row>
    <row r="20" spans="2:9" ht="68" customHeight="1" x14ac:dyDescent="0.2">
      <c r="B20" s="68" t="s">
        <v>42</v>
      </c>
      <c r="C20" s="62"/>
      <c r="D20" s="62"/>
      <c r="E20" s="62"/>
      <c r="F20" s="62"/>
      <c r="G20" s="62"/>
      <c r="H20" s="62"/>
      <c r="I20" s="62"/>
    </row>
    <row r="21" spans="2:9" ht="58" customHeight="1" x14ac:dyDescent="0.2">
      <c r="B21" s="70" t="s">
        <v>43</v>
      </c>
      <c r="C21" s="62"/>
      <c r="D21" s="71" t="s">
        <v>44</v>
      </c>
      <c r="E21" s="62"/>
      <c r="F21" s="62"/>
      <c r="G21" s="62"/>
      <c r="H21" s="62"/>
    </row>
    <row r="22" spans="2:9" ht="58" customHeight="1" x14ac:dyDescent="0.2">
      <c r="B22" s="67" t="s">
        <v>45</v>
      </c>
      <c r="C22" s="62"/>
      <c r="D22" s="68" t="s">
        <v>46</v>
      </c>
      <c r="E22" s="62"/>
      <c r="F22" s="62"/>
      <c r="G22" s="62"/>
      <c r="H22" s="62"/>
    </row>
    <row r="23" spans="2:9" ht="58" customHeight="1" x14ac:dyDescent="0.2">
      <c r="B23" s="70" t="s">
        <v>47</v>
      </c>
      <c r="C23" s="62"/>
      <c r="D23" s="71" t="s">
        <v>48</v>
      </c>
      <c r="E23" s="62"/>
      <c r="F23" s="62"/>
      <c r="G23" s="62"/>
      <c r="H23" s="62"/>
    </row>
    <row r="24" spans="2:9" ht="58" customHeight="1" x14ac:dyDescent="0.2">
      <c r="B24" s="67" t="s">
        <v>49</v>
      </c>
      <c r="C24" s="62"/>
      <c r="D24" s="68" t="s">
        <v>50</v>
      </c>
      <c r="E24" s="62"/>
      <c r="F24" s="62"/>
      <c r="G24" s="62"/>
      <c r="H24" s="62"/>
    </row>
    <row r="26" spans="2:9" ht="8" customHeight="1" x14ac:dyDescent="0.2">
      <c r="B26" s="72" t="s">
        <v>51</v>
      </c>
      <c r="C26" s="62"/>
      <c r="D26" s="62"/>
      <c r="E26" s="62"/>
      <c r="F26" s="62"/>
      <c r="G26" s="62"/>
      <c r="H26" s="62"/>
    </row>
    <row r="27" spans="2:9" ht="13" customHeight="1" x14ac:dyDescent="0.2">
      <c r="B27" s="6" t="s">
        <v>52</v>
      </c>
      <c r="C27" s="4"/>
      <c r="D27" s="73" t="s">
        <v>53</v>
      </c>
      <c r="E27" s="62"/>
      <c r="F27" s="62"/>
      <c r="G27" s="62"/>
      <c r="H27" s="62"/>
    </row>
    <row r="28" spans="2:9" ht="13" customHeight="1" x14ac:dyDescent="0.2">
      <c r="B28" s="7" t="s">
        <v>54</v>
      </c>
      <c r="D28" s="76" t="s">
        <v>55</v>
      </c>
      <c r="E28" s="62"/>
      <c r="F28" s="62"/>
      <c r="G28" s="62"/>
      <c r="H28" s="62"/>
    </row>
    <row r="29" spans="2:9" ht="13" customHeight="1" x14ac:dyDescent="0.2">
      <c r="B29" s="6" t="s">
        <v>56</v>
      </c>
      <c r="C29" s="4"/>
      <c r="D29" s="73" t="s">
        <v>57</v>
      </c>
      <c r="E29" s="62"/>
      <c r="F29" s="62"/>
      <c r="G29" s="62"/>
      <c r="H29" s="62"/>
    </row>
    <row r="30" spans="2:9" ht="13" customHeight="1" x14ac:dyDescent="0.2">
      <c r="B30" s="7" t="s">
        <v>58</v>
      </c>
      <c r="D30" s="76" t="s">
        <v>59</v>
      </c>
      <c r="E30" s="62"/>
      <c r="F30" s="62"/>
      <c r="G30" s="62"/>
      <c r="H30" s="62"/>
    </row>
    <row r="32" spans="2:9" ht="12" customHeight="1" x14ac:dyDescent="0.2">
      <c r="B32" s="79" t="s">
        <v>60</v>
      </c>
      <c r="C32" s="62"/>
      <c r="D32" s="62"/>
      <c r="E32" s="62"/>
      <c r="F32" s="62"/>
      <c r="G32" s="62"/>
      <c r="H32" s="62"/>
      <c r="I32" s="62"/>
    </row>
    <row r="33" spans="1:9" ht="5" customHeight="1" x14ac:dyDescent="0.2">
      <c r="A33" s="1"/>
      <c r="B33" s="1"/>
      <c r="C33" s="1"/>
      <c r="D33" s="1"/>
      <c r="E33" s="1"/>
      <c r="F33" s="1"/>
      <c r="G33" s="1"/>
      <c r="H33" s="1"/>
      <c r="I33" s="1"/>
    </row>
    <row r="34" spans="1:9" ht="5" customHeight="1" x14ac:dyDescent="0.2">
      <c r="A34" s="1"/>
      <c r="B34" s="1"/>
      <c r="C34" s="1"/>
      <c r="D34" s="1"/>
      <c r="E34" s="1"/>
      <c r="F34" s="1"/>
      <c r="G34" s="1"/>
      <c r="H34" s="1"/>
      <c r="I34" s="1"/>
    </row>
  </sheetData>
  <mergeCells count="41">
    <mergeCell ref="B32:I32"/>
    <mergeCell ref="B4:I4"/>
    <mergeCell ref="D28:H28"/>
    <mergeCell ref="F13:G13"/>
    <mergeCell ref="B24:C24"/>
    <mergeCell ref="D30:H30"/>
    <mergeCell ref="B15:C15"/>
    <mergeCell ref="D24:H24"/>
    <mergeCell ref="B20:I20"/>
    <mergeCell ref="D29:H29"/>
    <mergeCell ref="D23:H23"/>
    <mergeCell ref="F14:G14"/>
    <mergeCell ref="B19:H19"/>
    <mergeCell ref="B26:H26"/>
    <mergeCell ref="B11:C11"/>
    <mergeCell ref="F15:G15"/>
    <mergeCell ref="B23:C23"/>
    <mergeCell ref="D27:H27"/>
    <mergeCell ref="B14:C14"/>
    <mergeCell ref="B17:C17"/>
    <mergeCell ref="F17:G17"/>
    <mergeCell ref="B13:C13"/>
    <mergeCell ref="B3:I3"/>
    <mergeCell ref="B22:C22"/>
    <mergeCell ref="D22:H22"/>
    <mergeCell ref="F7:G7"/>
    <mergeCell ref="B12:C12"/>
    <mergeCell ref="B21:C21"/>
    <mergeCell ref="F12:G12"/>
    <mergeCell ref="D21:H21"/>
    <mergeCell ref="F9:H9"/>
    <mergeCell ref="D7:E7"/>
    <mergeCell ref="H7:I7"/>
    <mergeCell ref="B10:C10"/>
    <mergeCell ref="B5:I5"/>
    <mergeCell ref="B9:E9"/>
    <mergeCell ref="B16:C16"/>
    <mergeCell ref="F11:G11"/>
    <mergeCell ref="B7:C7"/>
    <mergeCell ref="F10:G10"/>
    <mergeCell ref="F16:G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"/>
  <sheetViews>
    <sheetView showGridLines="0" workbookViewId="0"/>
  </sheetViews>
  <sheetFormatPr baseColWidth="10" defaultColWidth="8.83203125" defaultRowHeight="15" x14ac:dyDescent="0.2"/>
  <cols>
    <col min="1" max="1" width="1.5" customWidth="1"/>
    <col min="2" max="2" width="26" customWidth="1"/>
    <col min="3" max="10" width="12" customWidth="1"/>
    <col min="11" max="11" width="1.5" customWidth="1"/>
  </cols>
  <sheetData>
    <row r="1" spans="1:11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 x14ac:dyDescent="0.2">
      <c r="B2" s="81" t="s">
        <v>61</v>
      </c>
      <c r="C2" s="62"/>
      <c r="D2" s="62"/>
      <c r="E2" s="62"/>
      <c r="F2" s="62"/>
      <c r="G2" s="62"/>
      <c r="H2" s="62"/>
      <c r="I2" s="62"/>
      <c r="J2" s="62"/>
    </row>
    <row r="3" spans="1:11" ht="16" customHeight="1" x14ac:dyDescent="0.2">
      <c r="B3" s="8" t="s">
        <v>62</v>
      </c>
      <c r="C3" s="9" t="s">
        <v>63</v>
      </c>
      <c r="D3" s="9" t="s">
        <v>64</v>
      </c>
      <c r="E3" s="9" t="s">
        <v>65</v>
      </c>
      <c r="F3" s="10" t="s">
        <v>66</v>
      </c>
      <c r="G3" s="10" t="s">
        <v>67</v>
      </c>
      <c r="H3" s="10" t="s">
        <v>68</v>
      </c>
      <c r="I3" s="10" t="s">
        <v>69</v>
      </c>
      <c r="J3" s="10" t="s">
        <v>70</v>
      </c>
    </row>
    <row r="4" spans="1:11" ht="6" customHeight="1" x14ac:dyDescent="0.2">
      <c r="B4" s="72" t="s">
        <v>71</v>
      </c>
      <c r="C4" s="62"/>
      <c r="D4" s="62"/>
      <c r="E4" s="62"/>
      <c r="F4" s="62"/>
      <c r="G4" s="62"/>
      <c r="H4" s="62"/>
      <c r="I4" s="62"/>
      <c r="J4" s="62"/>
    </row>
    <row r="5" spans="1:11" ht="13" customHeight="1" x14ac:dyDescent="0.2">
      <c r="B5" s="11" t="s">
        <v>72</v>
      </c>
      <c r="C5" s="12" t="s">
        <v>73</v>
      </c>
      <c r="D5" s="12" t="s">
        <v>73</v>
      </c>
      <c r="E5" s="13">
        <v>0.94599999999999995</v>
      </c>
      <c r="F5" s="14">
        <v>0.4</v>
      </c>
      <c r="G5" s="14">
        <v>0.35</v>
      </c>
      <c r="H5" s="14">
        <v>0.25</v>
      </c>
      <c r="I5" s="14">
        <v>0.16700000000000001</v>
      </c>
      <c r="J5" s="14">
        <v>0.1</v>
      </c>
    </row>
    <row r="6" spans="1:11" ht="13" customHeight="1" x14ac:dyDescent="0.2">
      <c r="B6" s="15" t="s">
        <v>74</v>
      </c>
      <c r="C6" s="16" t="s">
        <v>73</v>
      </c>
      <c r="D6" s="16" t="s">
        <v>73</v>
      </c>
      <c r="E6" s="17">
        <v>0.497</v>
      </c>
      <c r="F6" s="14">
        <v>0.1</v>
      </c>
      <c r="G6" s="14">
        <v>0.1</v>
      </c>
      <c r="H6" s="14">
        <v>0.1</v>
      </c>
      <c r="I6" s="14">
        <v>0.1</v>
      </c>
      <c r="J6" s="14">
        <v>0.1</v>
      </c>
    </row>
    <row r="7" spans="1:11" ht="13" customHeight="1" x14ac:dyDescent="0.2">
      <c r="B7" s="11" t="s">
        <v>75</v>
      </c>
      <c r="C7" s="12" t="s">
        <v>73</v>
      </c>
      <c r="D7" s="12" t="s">
        <v>73</v>
      </c>
      <c r="E7" s="13">
        <v>-0.58599999999999997</v>
      </c>
      <c r="F7" s="14">
        <v>-9.7000000000000003E-2</v>
      </c>
      <c r="G7" s="14">
        <v>-4.2999999999999997E-2</v>
      </c>
      <c r="H7" s="14">
        <v>0</v>
      </c>
      <c r="I7" s="14">
        <v>0</v>
      </c>
      <c r="J7" s="14">
        <v>0</v>
      </c>
    </row>
    <row r="8" spans="1:11" ht="13" customHeight="1" x14ac:dyDescent="0.2">
      <c r="B8" s="15" t="s">
        <v>76</v>
      </c>
      <c r="C8" s="16" t="s">
        <v>73</v>
      </c>
      <c r="D8" s="16" t="s">
        <v>73</v>
      </c>
      <c r="E8" s="17">
        <v>-0.32900000000000001</v>
      </c>
      <c r="F8" s="14">
        <v>0.25</v>
      </c>
      <c r="G8" s="14">
        <v>0.15</v>
      </c>
      <c r="H8" s="14">
        <v>0.12</v>
      </c>
      <c r="I8" s="14">
        <v>0.1</v>
      </c>
      <c r="J8" s="14">
        <v>0.08</v>
      </c>
    </row>
    <row r="10" spans="1:11" ht="6" customHeight="1" x14ac:dyDescent="0.2">
      <c r="B10" s="72" t="s">
        <v>77</v>
      </c>
      <c r="C10" s="62"/>
      <c r="D10" s="62"/>
      <c r="E10" s="62"/>
      <c r="F10" s="62"/>
      <c r="G10" s="62"/>
      <c r="H10" s="62"/>
      <c r="I10" s="62"/>
      <c r="J10" s="62"/>
    </row>
    <row r="11" spans="1:11" ht="13" customHeight="1" x14ac:dyDescent="0.2">
      <c r="B11" s="11" t="s">
        <v>72</v>
      </c>
      <c r="C11" s="18">
        <v>6045</v>
      </c>
      <c r="D11" s="18">
        <v>6496</v>
      </c>
      <c r="E11" s="18">
        <v>12641</v>
      </c>
      <c r="F11" s="19">
        <f t="shared" ref="F11:J14" si="0">E11*(1+F5)</f>
        <v>17697.399999999998</v>
      </c>
      <c r="G11" s="19">
        <f t="shared" si="0"/>
        <v>23891.489999999998</v>
      </c>
      <c r="H11" s="19">
        <f t="shared" si="0"/>
        <v>29864.362499999996</v>
      </c>
      <c r="I11" s="19">
        <f t="shared" si="0"/>
        <v>34851.711037499997</v>
      </c>
      <c r="J11" s="19">
        <f t="shared" si="0"/>
        <v>38336.882141250004</v>
      </c>
    </row>
    <row r="12" spans="1:11" ht="13" customHeight="1" x14ac:dyDescent="0.2">
      <c r="B12" s="15" t="s">
        <v>74</v>
      </c>
      <c r="C12" s="18">
        <v>6236</v>
      </c>
      <c r="D12" s="18">
        <v>4680</v>
      </c>
      <c r="E12" s="18">
        <v>7003</v>
      </c>
      <c r="F12" s="20">
        <f t="shared" si="0"/>
        <v>7703.3</v>
      </c>
      <c r="G12" s="20">
        <f t="shared" si="0"/>
        <v>8473.630000000001</v>
      </c>
      <c r="H12" s="20">
        <f t="shared" si="0"/>
        <v>9320.9930000000022</v>
      </c>
      <c r="I12" s="20">
        <f t="shared" si="0"/>
        <v>10253.092300000004</v>
      </c>
      <c r="J12" s="20">
        <f t="shared" si="0"/>
        <v>11278.401530000005</v>
      </c>
    </row>
    <row r="13" spans="1:11" ht="13" customHeight="1" x14ac:dyDescent="0.2">
      <c r="B13" s="11" t="s">
        <v>75</v>
      </c>
      <c r="C13" s="18">
        <v>7167</v>
      </c>
      <c r="D13" s="18">
        <v>6156</v>
      </c>
      <c r="E13" s="18">
        <v>2551</v>
      </c>
      <c r="F13" s="19">
        <f t="shared" si="0"/>
        <v>2303.5529999999999</v>
      </c>
      <c r="G13" s="19">
        <f t="shared" si="0"/>
        <v>2204.5002209999998</v>
      </c>
      <c r="H13" s="19">
        <f t="shared" si="0"/>
        <v>2204.5002209999998</v>
      </c>
      <c r="I13" s="19">
        <f t="shared" si="0"/>
        <v>2204.5002209999998</v>
      </c>
      <c r="J13" s="19">
        <f t="shared" si="0"/>
        <v>2204.5002209999998</v>
      </c>
    </row>
    <row r="14" spans="1:11" ht="13" customHeight="1" x14ac:dyDescent="0.2">
      <c r="B14" s="15" t="s">
        <v>76</v>
      </c>
      <c r="C14" s="18">
        <v>4153</v>
      </c>
      <c r="D14" s="18">
        <v>5348</v>
      </c>
      <c r="E14" s="18">
        <v>3590</v>
      </c>
      <c r="F14" s="20">
        <f t="shared" si="0"/>
        <v>4487.5</v>
      </c>
      <c r="G14" s="20">
        <f t="shared" si="0"/>
        <v>5160.625</v>
      </c>
      <c r="H14" s="20">
        <f t="shared" si="0"/>
        <v>5779.9000000000005</v>
      </c>
      <c r="I14" s="20">
        <f t="shared" si="0"/>
        <v>6357.8900000000012</v>
      </c>
      <c r="J14" s="20">
        <f t="shared" si="0"/>
        <v>6866.521200000002</v>
      </c>
    </row>
    <row r="15" spans="1:11" ht="14" customHeight="1" x14ac:dyDescent="0.2">
      <c r="B15" s="21" t="s">
        <v>78</v>
      </c>
      <c r="C15" s="22">
        <f t="shared" ref="C15:J15" si="1">C11+C12+C13+C14</f>
        <v>23601</v>
      </c>
      <c r="D15" s="22">
        <f t="shared" si="1"/>
        <v>22680</v>
      </c>
      <c r="E15" s="22">
        <f t="shared" si="1"/>
        <v>25785</v>
      </c>
      <c r="F15" s="22">
        <f t="shared" si="1"/>
        <v>32191.752999999997</v>
      </c>
      <c r="G15" s="22">
        <f t="shared" si="1"/>
        <v>39730.245220999997</v>
      </c>
      <c r="H15" s="22">
        <f t="shared" si="1"/>
        <v>47169.755721000001</v>
      </c>
      <c r="I15" s="22">
        <f t="shared" si="1"/>
        <v>53667.193558500003</v>
      </c>
      <c r="J15" s="22">
        <f t="shared" si="1"/>
        <v>58686.305092250012</v>
      </c>
    </row>
    <row r="16" spans="1:11" ht="13" customHeight="1" x14ac:dyDescent="0.2">
      <c r="B16" s="23" t="s">
        <v>79</v>
      </c>
      <c r="D16" s="17">
        <f t="shared" ref="D16:J16" si="2">D15/C15-1</f>
        <v>-3.9023770179229644E-2</v>
      </c>
      <c r="E16" s="17">
        <f t="shared" si="2"/>
        <v>0.13690476190476186</v>
      </c>
      <c r="F16" s="17">
        <f t="shared" si="2"/>
        <v>0.24846821795617591</v>
      </c>
      <c r="G16" s="17">
        <f t="shared" si="2"/>
        <v>0.23417464159221146</v>
      </c>
      <c r="H16" s="17">
        <f t="shared" si="2"/>
        <v>0.18725055580748706</v>
      </c>
      <c r="I16" s="17">
        <f t="shared" si="2"/>
        <v>0.13774584451806571</v>
      </c>
      <c r="J16" s="17">
        <f t="shared" si="2"/>
        <v>9.3522899204314003E-2</v>
      </c>
    </row>
    <row r="17" spans="2:10" ht="6" customHeight="1" x14ac:dyDescent="0.2">
      <c r="B17" s="72" t="s">
        <v>80</v>
      </c>
      <c r="C17" s="62"/>
      <c r="D17" s="62"/>
      <c r="E17" s="62"/>
      <c r="F17" s="62"/>
      <c r="G17" s="62"/>
      <c r="H17" s="62"/>
      <c r="I17" s="62"/>
      <c r="J17" s="62"/>
    </row>
    <row r="18" spans="2:10" ht="13" customHeight="1" x14ac:dyDescent="0.2">
      <c r="B18" s="11" t="s">
        <v>81</v>
      </c>
      <c r="C18" s="14">
        <v>0.44500000000000001</v>
      </c>
      <c r="D18" s="14">
        <v>0.46100000000000002</v>
      </c>
      <c r="E18" s="14">
        <v>0.48</v>
      </c>
      <c r="F18" s="14">
        <v>0.5</v>
      </c>
      <c r="G18" s="14">
        <v>0.52</v>
      </c>
      <c r="H18" s="14">
        <v>0.54</v>
      </c>
      <c r="I18" s="14">
        <v>0.55500000000000005</v>
      </c>
      <c r="J18" s="14">
        <v>0.56999999999999995</v>
      </c>
    </row>
    <row r="19" spans="2:10" ht="13" customHeight="1" x14ac:dyDescent="0.2">
      <c r="B19" s="15" t="s">
        <v>82</v>
      </c>
      <c r="C19" s="14">
        <v>0.16200000000000001</v>
      </c>
      <c r="D19" s="14">
        <v>0.191</v>
      </c>
      <c r="E19" s="14">
        <v>0.216</v>
      </c>
      <c r="F19" s="14">
        <v>0.215</v>
      </c>
      <c r="G19" s="14">
        <v>0.245</v>
      </c>
      <c r="H19" s="14">
        <v>0.26500000000000001</v>
      </c>
      <c r="I19" s="14">
        <v>0.28000000000000003</v>
      </c>
      <c r="J19" s="14">
        <v>0.28999999999999998</v>
      </c>
    </row>
    <row r="20" spans="2:10" ht="13" customHeight="1" x14ac:dyDescent="0.2">
      <c r="B20" s="11" t="s">
        <v>83</v>
      </c>
      <c r="C20" s="18">
        <v>3936</v>
      </c>
      <c r="D20" s="18">
        <v>3936</v>
      </c>
      <c r="E20" s="18">
        <v>3758</v>
      </c>
      <c r="F20" s="18">
        <v>3700</v>
      </c>
      <c r="G20" s="18">
        <v>3400</v>
      </c>
      <c r="H20" s="18">
        <v>3100</v>
      </c>
      <c r="I20" s="18">
        <v>2750</v>
      </c>
      <c r="J20" s="18">
        <v>2400</v>
      </c>
    </row>
    <row r="21" spans="2:10" ht="13" customHeight="1" x14ac:dyDescent="0.2">
      <c r="B21" s="15" t="s">
        <v>84</v>
      </c>
      <c r="C21" s="14">
        <v>0.09</v>
      </c>
      <c r="D21" s="14">
        <v>0.06</v>
      </c>
      <c r="E21" s="14">
        <v>0.1</v>
      </c>
      <c r="F21" s="14">
        <v>0.15</v>
      </c>
      <c r="G21" s="14">
        <v>0.15</v>
      </c>
      <c r="H21" s="14">
        <v>0.15</v>
      </c>
      <c r="I21" s="14">
        <v>0.15</v>
      </c>
      <c r="J21" s="14">
        <v>0.15</v>
      </c>
    </row>
    <row r="22" spans="2:10" ht="13" customHeight="1" x14ac:dyDescent="0.2">
      <c r="B22" s="11" t="s">
        <v>85</v>
      </c>
      <c r="C22" s="18">
        <v>300</v>
      </c>
      <c r="D22" s="18">
        <v>237</v>
      </c>
      <c r="E22" s="18">
        <v>236</v>
      </c>
      <c r="F22" s="18">
        <v>300</v>
      </c>
      <c r="G22" s="18">
        <v>375</v>
      </c>
      <c r="H22" s="18">
        <v>450</v>
      </c>
      <c r="I22" s="18">
        <v>525</v>
      </c>
      <c r="J22" s="18">
        <v>600</v>
      </c>
    </row>
    <row r="23" spans="2:10" ht="13" customHeight="1" x14ac:dyDescent="0.2">
      <c r="B23" s="15" t="s">
        <v>86</v>
      </c>
      <c r="C23" s="18">
        <v>380</v>
      </c>
      <c r="D23" s="18">
        <v>290</v>
      </c>
      <c r="E23" s="18">
        <v>310</v>
      </c>
      <c r="F23" s="18">
        <v>400</v>
      </c>
      <c r="G23" s="18">
        <v>500</v>
      </c>
      <c r="H23" s="18">
        <v>500</v>
      </c>
      <c r="I23" s="18">
        <v>400</v>
      </c>
      <c r="J23" s="18">
        <v>350</v>
      </c>
    </row>
  </sheetData>
  <mergeCells count="4">
    <mergeCell ref="B10:J10"/>
    <mergeCell ref="B4:J4"/>
    <mergeCell ref="B17:J17"/>
    <mergeCell ref="B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2"/>
  <sheetViews>
    <sheetView showGridLines="0" workbookViewId="0">
      <selection activeCell="F10" sqref="F10"/>
    </sheetView>
  </sheetViews>
  <sheetFormatPr baseColWidth="10" defaultColWidth="8.83203125" defaultRowHeight="15" x14ac:dyDescent="0.2"/>
  <cols>
    <col min="1" max="1" width="1.5" customWidth="1"/>
    <col min="2" max="2" width="28" customWidth="1"/>
    <col min="3" max="10" width="12" customWidth="1"/>
    <col min="11" max="11" width="1.5" customWidth="1"/>
  </cols>
  <sheetData>
    <row r="1" spans="1:11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 x14ac:dyDescent="0.2">
      <c r="B2" s="81" t="s">
        <v>87</v>
      </c>
      <c r="C2" s="62"/>
      <c r="D2" s="62"/>
      <c r="E2" s="62"/>
      <c r="F2" s="62"/>
      <c r="G2" s="62"/>
      <c r="H2" s="62"/>
      <c r="I2" s="62"/>
      <c r="J2" s="62"/>
    </row>
    <row r="3" spans="1:11" ht="16" customHeight="1" x14ac:dyDescent="0.2">
      <c r="B3" s="8"/>
      <c r="C3" s="9" t="s">
        <v>63</v>
      </c>
      <c r="D3" s="9" t="s">
        <v>64</v>
      </c>
      <c r="E3" s="9" t="s">
        <v>65</v>
      </c>
      <c r="F3" s="10" t="s">
        <v>66</v>
      </c>
      <c r="G3" s="10" t="s">
        <v>67</v>
      </c>
      <c r="H3" s="10" t="s">
        <v>68</v>
      </c>
      <c r="I3" s="10" t="s">
        <v>69</v>
      </c>
      <c r="J3" s="10" t="s">
        <v>70</v>
      </c>
    </row>
    <row r="4" spans="1:11" ht="6" customHeight="1" x14ac:dyDescent="0.2">
      <c r="B4" s="72" t="s">
        <v>88</v>
      </c>
      <c r="C4" s="62"/>
      <c r="D4" s="62"/>
      <c r="E4" s="62"/>
      <c r="F4" s="62"/>
      <c r="G4" s="62"/>
      <c r="H4" s="62"/>
      <c r="I4" s="62"/>
      <c r="J4" s="62"/>
    </row>
    <row r="5" spans="1:11" ht="14" customHeight="1" x14ac:dyDescent="0.2">
      <c r="B5" s="21" t="s">
        <v>89</v>
      </c>
      <c r="C5" s="24">
        <f>Assumptions!C15</f>
        <v>23601</v>
      </c>
      <c r="D5" s="24">
        <f>Assumptions!D15</f>
        <v>22680</v>
      </c>
      <c r="E5" s="24">
        <f>Assumptions!E15</f>
        <v>25785</v>
      </c>
      <c r="F5" s="24">
        <f>Assumptions!F15</f>
        <v>32191.752999999997</v>
      </c>
      <c r="G5" s="24">
        <f>Assumptions!G15</f>
        <v>39730.245220999997</v>
      </c>
      <c r="H5" s="24">
        <f>Assumptions!H15</f>
        <v>47169.755721000001</v>
      </c>
      <c r="I5" s="24">
        <f>Assumptions!I15</f>
        <v>53667.193558500003</v>
      </c>
      <c r="J5" s="24">
        <f>Assumptions!J15</f>
        <v>58686.305092250012</v>
      </c>
    </row>
    <row r="6" spans="1:11" ht="13" customHeight="1" x14ac:dyDescent="0.2">
      <c r="B6" s="25" t="s">
        <v>90</v>
      </c>
      <c r="D6" s="17">
        <f t="shared" ref="D6:J6" si="0">D5/C5-1</f>
        <v>-3.9023770179229644E-2</v>
      </c>
      <c r="E6" s="17">
        <f t="shared" si="0"/>
        <v>0.13690476190476186</v>
      </c>
      <c r="F6" s="17">
        <f t="shared" si="0"/>
        <v>0.24846821795617591</v>
      </c>
      <c r="G6" s="17">
        <f t="shared" si="0"/>
        <v>0.23417464159221146</v>
      </c>
      <c r="H6" s="17">
        <f t="shared" si="0"/>
        <v>0.18725055580748706</v>
      </c>
      <c r="I6" s="17">
        <f t="shared" si="0"/>
        <v>0.13774584451806571</v>
      </c>
      <c r="J6" s="17">
        <f t="shared" si="0"/>
        <v>9.3522899204314003E-2</v>
      </c>
    </row>
    <row r="7" spans="1:11" ht="14" customHeight="1" x14ac:dyDescent="0.2">
      <c r="B7" s="21" t="s">
        <v>91</v>
      </c>
      <c r="C7" s="19">
        <f>C5*Assumptions!C18</f>
        <v>10502.445</v>
      </c>
      <c r="D7" s="19">
        <f>D5*Assumptions!D18</f>
        <v>10455.480000000001</v>
      </c>
      <c r="E7" s="19">
        <f>E5*Assumptions!E18</f>
        <v>12376.8</v>
      </c>
      <c r="F7" s="19">
        <f>F5*Assumptions!F18</f>
        <v>16095.876499999998</v>
      </c>
      <c r="G7" s="19">
        <f>G5*Assumptions!G18</f>
        <v>20659.72751492</v>
      </c>
      <c r="H7" s="19">
        <f>H5*Assumptions!H18</f>
        <v>25471.668089340001</v>
      </c>
      <c r="I7" s="19">
        <f>I5*Assumptions!I18</f>
        <v>29785.292424967505</v>
      </c>
      <c r="J7" s="19">
        <f>J5*Assumptions!J18</f>
        <v>33451.193902582505</v>
      </c>
    </row>
    <row r="8" spans="1:11" ht="13" customHeight="1" x14ac:dyDescent="0.2">
      <c r="B8" s="25" t="s">
        <v>92</v>
      </c>
      <c r="C8" s="17">
        <f t="shared" ref="C8:J8" si="1">C7/C5</f>
        <v>0.44500000000000001</v>
      </c>
      <c r="D8" s="17">
        <f t="shared" si="1"/>
        <v>0.46100000000000008</v>
      </c>
      <c r="E8" s="17">
        <f t="shared" si="1"/>
        <v>0.48</v>
      </c>
      <c r="F8" s="17">
        <f t="shared" si="1"/>
        <v>0.5</v>
      </c>
      <c r="G8" s="17">
        <f t="shared" si="1"/>
        <v>0.52</v>
      </c>
      <c r="H8" s="17">
        <f t="shared" si="1"/>
        <v>0.54</v>
      </c>
      <c r="I8" s="17">
        <f t="shared" si="1"/>
        <v>0.55500000000000005</v>
      </c>
      <c r="J8" s="17">
        <f t="shared" si="1"/>
        <v>0.56999999999999995</v>
      </c>
    </row>
    <row r="9" spans="1:11" ht="14" customHeight="1" x14ac:dyDescent="0.2">
      <c r="B9" s="21" t="s">
        <v>93</v>
      </c>
      <c r="C9" s="19">
        <f>C5*Assumptions!C19</f>
        <v>3823.3620000000001</v>
      </c>
      <c r="D9" s="19">
        <f>D5*Assumptions!D19</f>
        <v>4331.88</v>
      </c>
      <c r="E9" s="19">
        <f>E5*Assumptions!E19</f>
        <v>5569.5599999999995</v>
      </c>
      <c r="F9" s="19">
        <f>F5*Assumptions!F19</f>
        <v>6921.2268949999989</v>
      </c>
      <c r="G9" s="19">
        <f>G5*Assumptions!G19</f>
        <v>9733.9100791450001</v>
      </c>
      <c r="H9" s="19">
        <f>H5*Assumptions!H19</f>
        <v>12499.985266065001</v>
      </c>
      <c r="I9" s="19">
        <f>I5*Assumptions!I19</f>
        <v>15026.814196380003</v>
      </c>
      <c r="J9" s="19">
        <f>J5*Assumptions!J19</f>
        <v>17019.028476752501</v>
      </c>
    </row>
    <row r="10" spans="1:11" ht="13" customHeight="1" x14ac:dyDescent="0.2">
      <c r="B10" s="25" t="s">
        <v>94</v>
      </c>
      <c r="C10" s="17">
        <f t="shared" ref="C10:J10" si="2">C9/C5</f>
        <v>0.16200000000000001</v>
      </c>
      <c r="D10" s="17">
        <f t="shared" si="2"/>
        <v>0.191</v>
      </c>
      <c r="E10" s="17">
        <f t="shared" si="2"/>
        <v>0.21599999999999997</v>
      </c>
      <c r="F10" s="17">
        <f t="shared" si="2"/>
        <v>0.215</v>
      </c>
      <c r="G10" s="17">
        <f t="shared" si="2"/>
        <v>0.24500000000000002</v>
      </c>
      <c r="H10" s="17">
        <f t="shared" si="2"/>
        <v>0.26500000000000001</v>
      </c>
      <c r="I10" s="17">
        <f t="shared" si="2"/>
        <v>0.28000000000000003</v>
      </c>
      <c r="J10" s="17">
        <f t="shared" si="2"/>
        <v>0.28999999999999998</v>
      </c>
    </row>
    <row r="11" spans="1:11" ht="14" customHeight="1" x14ac:dyDescent="0.2">
      <c r="B11" s="26" t="s">
        <v>95</v>
      </c>
      <c r="C11" s="24">
        <f>Assumptions!C20</f>
        <v>3936</v>
      </c>
      <c r="D11" s="24">
        <f>Assumptions!D20</f>
        <v>3936</v>
      </c>
      <c r="E11" s="24">
        <f>Assumptions!E20</f>
        <v>3758</v>
      </c>
      <c r="F11" s="24">
        <f>Assumptions!F20</f>
        <v>3700</v>
      </c>
      <c r="G11" s="24">
        <f>Assumptions!G20</f>
        <v>3400</v>
      </c>
      <c r="H11" s="24">
        <f>Assumptions!H20</f>
        <v>3100</v>
      </c>
      <c r="I11" s="24">
        <f>Assumptions!I20</f>
        <v>2750</v>
      </c>
      <c r="J11" s="24">
        <f>Assumptions!J20</f>
        <v>2400</v>
      </c>
    </row>
    <row r="12" spans="1:11" ht="14" customHeight="1" x14ac:dyDescent="0.2">
      <c r="B12" s="27" t="s">
        <v>96</v>
      </c>
      <c r="C12" s="28">
        <f t="shared" ref="C12:J12" si="3">C9-C11</f>
        <v>-112.63799999999992</v>
      </c>
      <c r="D12" s="28">
        <f t="shared" si="3"/>
        <v>395.88000000000011</v>
      </c>
      <c r="E12" s="28">
        <f t="shared" si="3"/>
        <v>1811.5599999999995</v>
      </c>
      <c r="F12" s="28">
        <f t="shared" si="3"/>
        <v>3221.2268949999989</v>
      </c>
      <c r="G12" s="28">
        <f t="shared" si="3"/>
        <v>6333.9100791450001</v>
      </c>
      <c r="H12" s="28">
        <f t="shared" si="3"/>
        <v>9399.9852660650013</v>
      </c>
      <c r="I12" s="28">
        <f t="shared" si="3"/>
        <v>12276.814196380003</v>
      </c>
      <c r="J12" s="28">
        <f t="shared" si="3"/>
        <v>14619.028476752501</v>
      </c>
    </row>
    <row r="13" spans="1:11" ht="13" customHeight="1" x14ac:dyDescent="0.2">
      <c r="B13" s="25" t="s">
        <v>97</v>
      </c>
      <c r="C13" s="17">
        <f t="shared" ref="C13:J13" si="4">C12/C5</f>
        <v>-4.7725943815939966E-3</v>
      </c>
      <c r="D13" s="17">
        <f t="shared" si="4"/>
        <v>1.7455026455026459E-2</v>
      </c>
      <c r="E13" s="17">
        <f t="shared" si="4"/>
        <v>7.0256350591429109E-2</v>
      </c>
      <c r="F13" s="17">
        <f t="shared" si="4"/>
        <v>0.10006373045295169</v>
      </c>
      <c r="G13" s="17">
        <f t="shared" si="4"/>
        <v>0.15942287906637737</v>
      </c>
      <c r="H13" s="17">
        <f t="shared" si="4"/>
        <v>0.19927992253477206</v>
      </c>
      <c r="I13" s="17">
        <f t="shared" si="4"/>
        <v>0.22875826705932822</v>
      </c>
      <c r="J13" s="17">
        <f t="shared" si="4"/>
        <v>0.24910459865845361</v>
      </c>
    </row>
    <row r="14" spans="1:11" ht="8" customHeight="1" x14ac:dyDescent="0.2">
      <c r="B14" s="72" t="s">
        <v>98</v>
      </c>
      <c r="C14" s="62"/>
      <c r="D14" s="62"/>
      <c r="E14" s="62"/>
      <c r="F14" s="62"/>
      <c r="G14" s="62"/>
      <c r="H14" s="62"/>
      <c r="I14" s="62"/>
      <c r="J14" s="62"/>
    </row>
    <row r="15" spans="1:11" ht="14" customHeight="1" x14ac:dyDescent="0.2">
      <c r="B15" s="26" t="s">
        <v>99</v>
      </c>
      <c r="C15" s="19">
        <f t="shared" ref="C15:J15" si="5">C12</f>
        <v>-112.63799999999992</v>
      </c>
      <c r="D15" s="19">
        <f t="shared" si="5"/>
        <v>395.88000000000011</v>
      </c>
      <c r="E15" s="19">
        <f t="shared" si="5"/>
        <v>1811.5599999999995</v>
      </c>
      <c r="F15" s="19">
        <f t="shared" si="5"/>
        <v>3221.2268949999989</v>
      </c>
      <c r="G15" s="19">
        <f t="shared" si="5"/>
        <v>6333.9100791450001</v>
      </c>
      <c r="H15" s="19">
        <f t="shared" si="5"/>
        <v>9399.9852660650013</v>
      </c>
      <c r="I15" s="19">
        <f t="shared" si="5"/>
        <v>12276.814196380003</v>
      </c>
      <c r="J15" s="19">
        <f t="shared" si="5"/>
        <v>14619.028476752501</v>
      </c>
    </row>
    <row r="16" spans="1:11" ht="13" customHeight="1" x14ac:dyDescent="0.2">
      <c r="B16" s="15" t="s">
        <v>100</v>
      </c>
      <c r="C16" s="20">
        <f>-C15*Assumptions!C21</f>
        <v>10.137419999999992</v>
      </c>
      <c r="D16" s="20">
        <f>-D15*Assumptions!D21</f>
        <v>-23.752800000000004</v>
      </c>
      <c r="E16" s="20">
        <f>-E15*Assumptions!E21</f>
        <v>-181.15599999999995</v>
      </c>
      <c r="F16" s="20">
        <f>-F15*Assumptions!F21</f>
        <v>-483.1840342499998</v>
      </c>
      <c r="G16" s="20">
        <f>-G15*Assumptions!G21</f>
        <v>-950.08651187174996</v>
      </c>
      <c r="H16" s="20">
        <f>-H15*Assumptions!H21</f>
        <v>-1409.9977899097501</v>
      </c>
      <c r="I16" s="20">
        <f>-I15*Assumptions!I21</f>
        <v>-1841.5221294570003</v>
      </c>
      <c r="J16" s="20">
        <f>-J15*Assumptions!J21</f>
        <v>-2192.8542715128751</v>
      </c>
    </row>
    <row r="17" spans="1:11" ht="14" customHeight="1" x14ac:dyDescent="0.2">
      <c r="B17" s="21" t="s">
        <v>101</v>
      </c>
      <c r="C17" s="22">
        <f t="shared" ref="C17:J17" si="6">C15+C16</f>
        <v>-102.50057999999993</v>
      </c>
      <c r="D17" s="22">
        <f t="shared" si="6"/>
        <v>372.12720000000013</v>
      </c>
      <c r="E17" s="22">
        <f t="shared" si="6"/>
        <v>1630.4039999999995</v>
      </c>
      <c r="F17" s="22">
        <f t="shared" si="6"/>
        <v>2738.0428607499989</v>
      </c>
      <c r="G17" s="22">
        <f t="shared" si="6"/>
        <v>5383.8235672732499</v>
      </c>
      <c r="H17" s="22">
        <f t="shared" si="6"/>
        <v>7989.987476155251</v>
      </c>
      <c r="I17" s="22">
        <f t="shared" si="6"/>
        <v>10435.292066923002</v>
      </c>
      <c r="J17" s="22">
        <f t="shared" si="6"/>
        <v>12426.174205239626</v>
      </c>
    </row>
    <row r="18" spans="1:11" ht="13" customHeight="1" x14ac:dyDescent="0.2">
      <c r="B18" s="15" t="s">
        <v>102</v>
      </c>
      <c r="C18" s="20">
        <f t="shared" ref="C18:J18" si="7">C11</f>
        <v>3936</v>
      </c>
      <c r="D18" s="20">
        <f t="shared" si="7"/>
        <v>3936</v>
      </c>
      <c r="E18" s="20">
        <f t="shared" si="7"/>
        <v>3758</v>
      </c>
      <c r="F18" s="20">
        <f t="shared" si="7"/>
        <v>3700</v>
      </c>
      <c r="G18" s="20">
        <f t="shared" si="7"/>
        <v>3400</v>
      </c>
      <c r="H18" s="20">
        <f t="shared" si="7"/>
        <v>3100</v>
      </c>
      <c r="I18" s="20">
        <f t="shared" si="7"/>
        <v>2750</v>
      </c>
      <c r="J18" s="20">
        <f t="shared" si="7"/>
        <v>2400</v>
      </c>
    </row>
    <row r="19" spans="1:11" ht="13" customHeight="1" x14ac:dyDescent="0.2">
      <c r="B19" s="15" t="s">
        <v>103</v>
      </c>
      <c r="C19" s="20">
        <f>-Assumptions!C22</f>
        <v>-300</v>
      </c>
      <c r="D19" s="20">
        <f>-Assumptions!D22</f>
        <v>-237</v>
      </c>
      <c r="E19" s="20">
        <f>-Assumptions!E22</f>
        <v>-236</v>
      </c>
      <c r="F19" s="20">
        <f>-Assumptions!F22</f>
        <v>-300</v>
      </c>
      <c r="G19" s="20">
        <f>-Assumptions!G22</f>
        <v>-375</v>
      </c>
      <c r="H19" s="20">
        <f>-Assumptions!H22</f>
        <v>-450</v>
      </c>
      <c r="I19" s="20">
        <f>-Assumptions!I22</f>
        <v>-525</v>
      </c>
      <c r="J19" s="20">
        <f>-Assumptions!J22</f>
        <v>-600</v>
      </c>
    </row>
    <row r="20" spans="1:11" ht="13" customHeight="1" x14ac:dyDescent="0.2">
      <c r="B20" s="15" t="s">
        <v>104</v>
      </c>
      <c r="C20" s="20">
        <f>-Assumptions!C23</f>
        <v>-380</v>
      </c>
      <c r="D20" s="20">
        <f>-Assumptions!D23</f>
        <v>-290</v>
      </c>
      <c r="E20" s="20">
        <f>-Assumptions!E23</f>
        <v>-310</v>
      </c>
      <c r="F20" s="20">
        <f>-Assumptions!F23</f>
        <v>-400</v>
      </c>
      <c r="G20" s="20">
        <f>-Assumptions!G23</f>
        <v>-500</v>
      </c>
      <c r="H20" s="20">
        <f>-Assumptions!H23</f>
        <v>-500</v>
      </c>
      <c r="I20" s="20">
        <f>-Assumptions!I23</f>
        <v>-400</v>
      </c>
      <c r="J20" s="20">
        <f>-Assumptions!J23</f>
        <v>-350</v>
      </c>
    </row>
    <row r="21" spans="1:11" ht="16" customHeight="1" x14ac:dyDescent="0.2">
      <c r="B21" s="21" t="s">
        <v>105</v>
      </c>
      <c r="C21" s="29">
        <f t="shared" ref="C21:J21" si="8">C17+C18+C19+C20</f>
        <v>3153.4994200000001</v>
      </c>
      <c r="D21" s="29">
        <f t="shared" si="8"/>
        <v>3781.1271999999999</v>
      </c>
      <c r="E21" s="29">
        <f t="shared" si="8"/>
        <v>4842.4039999999995</v>
      </c>
      <c r="F21" s="29">
        <f t="shared" si="8"/>
        <v>5738.0428607499989</v>
      </c>
      <c r="G21" s="29">
        <f t="shared" si="8"/>
        <v>7908.8235672732499</v>
      </c>
      <c r="H21" s="29">
        <f t="shared" si="8"/>
        <v>10139.987476155251</v>
      </c>
      <c r="I21" s="29">
        <f t="shared" si="8"/>
        <v>12260.292066923002</v>
      </c>
      <c r="J21" s="29">
        <f t="shared" si="8"/>
        <v>13876.174205239626</v>
      </c>
    </row>
    <row r="22" spans="1:11" ht="4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</sheetData>
  <mergeCells count="3">
    <mergeCell ref="B4:J4"/>
    <mergeCell ref="B14:J14"/>
    <mergeCell ref="B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7"/>
  <sheetViews>
    <sheetView showGridLines="0" workbookViewId="0">
      <selection activeCell="C17" sqref="C17"/>
    </sheetView>
  </sheetViews>
  <sheetFormatPr baseColWidth="10" defaultColWidth="8.83203125" defaultRowHeight="15" x14ac:dyDescent="0.2"/>
  <cols>
    <col min="1" max="1" width="1.5" customWidth="1"/>
    <col min="2" max="2" width="30" customWidth="1"/>
    <col min="3" max="8" width="14" customWidth="1"/>
    <col min="9" max="9" width="2" customWidth="1"/>
  </cols>
  <sheetData>
    <row r="1" spans="1:9" ht="5" customHeight="1" x14ac:dyDescent="0.2">
      <c r="A1" s="1"/>
      <c r="B1" s="1"/>
      <c r="C1" s="1"/>
      <c r="D1" s="1"/>
      <c r="E1" s="1"/>
      <c r="F1" s="1"/>
      <c r="G1" s="1"/>
      <c r="H1" s="1"/>
      <c r="I1" s="1"/>
    </row>
    <row r="2" spans="1:9" ht="20" customHeight="1" x14ac:dyDescent="0.2">
      <c r="B2" s="81" t="s">
        <v>106</v>
      </c>
      <c r="C2" s="62"/>
      <c r="D2" s="62"/>
      <c r="E2" s="62"/>
      <c r="F2" s="62"/>
      <c r="G2" s="62"/>
      <c r="H2" s="62"/>
    </row>
    <row r="3" spans="1:9" ht="16" customHeight="1" x14ac:dyDescent="0.2">
      <c r="B3" s="8"/>
      <c r="C3" s="9" t="s">
        <v>107</v>
      </c>
      <c r="D3" s="10" t="s">
        <v>66</v>
      </c>
      <c r="E3" s="10" t="s">
        <v>67</v>
      </c>
      <c r="F3" s="10" t="s">
        <v>68</v>
      </c>
      <c r="G3" s="10" t="s">
        <v>69</v>
      </c>
      <c r="H3" s="10" t="s">
        <v>70</v>
      </c>
    </row>
    <row r="4" spans="1:9" ht="6" customHeight="1" x14ac:dyDescent="0.2">
      <c r="B4" s="72" t="s">
        <v>108</v>
      </c>
      <c r="C4" s="62"/>
      <c r="D4" s="62"/>
      <c r="E4" s="62"/>
      <c r="F4" s="62"/>
      <c r="G4" s="62"/>
      <c r="H4" s="62"/>
    </row>
    <row r="5" spans="1:9" ht="13" customHeight="1" x14ac:dyDescent="0.2">
      <c r="B5" s="26" t="s">
        <v>109</v>
      </c>
      <c r="C5" s="30">
        <v>4.2999999999999997E-2</v>
      </c>
      <c r="D5" s="4"/>
      <c r="E5" s="4"/>
      <c r="F5" s="4"/>
      <c r="G5" s="4"/>
      <c r="H5" s="4"/>
    </row>
    <row r="6" spans="1:9" ht="13" customHeight="1" x14ac:dyDescent="0.2">
      <c r="B6" s="31" t="s">
        <v>110</v>
      </c>
      <c r="C6" s="30">
        <v>4.2999999999999997E-2</v>
      </c>
    </row>
    <row r="7" spans="1:9" ht="13" customHeight="1" x14ac:dyDescent="0.2">
      <c r="B7" s="26" t="s">
        <v>111</v>
      </c>
      <c r="C7" s="32">
        <v>1.4</v>
      </c>
      <c r="D7" s="4"/>
      <c r="E7" s="4"/>
      <c r="F7" s="4"/>
      <c r="G7" s="4"/>
      <c r="H7" s="4"/>
    </row>
    <row r="8" spans="1:9" ht="13" customHeight="1" x14ac:dyDescent="0.2">
      <c r="B8" s="27" t="s">
        <v>112</v>
      </c>
      <c r="C8" s="33">
        <f>C5+C7*C6</f>
        <v>0.10319999999999999</v>
      </c>
    </row>
    <row r="9" spans="1:9" ht="13" customHeight="1" x14ac:dyDescent="0.2">
      <c r="B9" s="26" t="s">
        <v>113</v>
      </c>
      <c r="C9" s="30">
        <v>0.04</v>
      </c>
      <c r="D9" s="4"/>
      <c r="E9" s="4"/>
      <c r="F9" s="4"/>
      <c r="G9" s="4"/>
      <c r="H9" s="4"/>
    </row>
    <row r="10" spans="1:9" ht="13" customHeight="1" x14ac:dyDescent="0.2">
      <c r="B10" s="31" t="s">
        <v>114</v>
      </c>
      <c r="C10" s="30">
        <v>0.15</v>
      </c>
    </row>
    <row r="11" spans="1:9" ht="13" customHeight="1" x14ac:dyDescent="0.2">
      <c r="B11" s="26" t="s">
        <v>115</v>
      </c>
      <c r="C11" s="34">
        <f>C9*(1-C10)</f>
        <v>3.4000000000000002E-2</v>
      </c>
      <c r="D11" s="4"/>
      <c r="E11" s="4"/>
      <c r="F11" s="4"/>
      <c r="G11" s="4"/>
      <c r="H11" s="4"/>
    </row>
    <row r="12" spans="1:9" ht="13" customHeight="1" x14ac:dyDescent="0.2">
      <c r="B12" s="31" t="s">
        <v>116</v>
      </c>
      <c r="C12" s="30">
        <v>8.9999999999999993E-3</v>
      </c>
    </row>
    <row r="13" spans="1:9" ht="13" customHeight="1" x14ac:dyDescent="0.2">
      <c r="B13" s="26" t="s">
        <v>117</v>
      </c>
      <c r="C13" s="34">
        <f>1-C12</f>
        <v>0.99099999999999999</v>
      </c>
      <c r="D13" s="4"/>
      <c r="E13" s="4"/>
      <c r="F13" s="4"/>
      <c r="G13" s="4"/>
      <c r="H13" s="4"/>
    </row>
    <row r="14" spans="1:9" ht="13" customHeight="1" x14ac:dyDescent="0.2">
      <c r="B14" s="27" t="s">
        <v>118</v>
      </c>
      <c r="C14" s="35">
        <f>C8*C13+C11*C12</f>
        <v>0.10257719999999998</v>
      </c>
    </row>
    <row r="15" spans="1:9" ht="6" customHeight="1" x14ac:dyDescent="0.2">
      <c r="B15" s="72" t="s">
        <v>119</v>
      </c>
      <c r="C15" s="62"/>
      <c r="D15" s="62"/>
      <c r="E15" s="62"/>
      <c r="F15" s="62"/>
      <c r="G15" s="62"/>
      <c r="H15" s="62"/>
    </row>
    <row r="16" spans="1:9" ht="16" customHeight="1" x14ac:dyDescent="0.2">
      <c r="B16" s="8" t="s">
        <v>62</v>
      </c>
      <c r="C16" s="9" t="s">
        <v>120</v>
      </c>
      <c r="D16" s="9" t="s">
        <v>66</v>
      </c>
      <c r="E16" s="9" t="s">
        <v>67</v>
      </c>
      <c r="F16" s="9" t="s">
        <v>68</v>
      </c>
      <c r="G16" s="9" t="s">
        <v>69</v>
      </c>
      <c r="H16" s="9" t="s">
        <v>70</v>
      </c>
    </row>
    <row r="17" spans="2:8" ht="14" customHeight="1" x14ac:dyDescent="0.2">
      <c r="B17" s="21" t="s">
        <v>105</v>
      </c>
      <c r="C17" s="26" t="s">
        <v>121</v>
      </c>
      <c r="D17" s="24">
        <f>'Income Statement'!F21</f>
        <v>5738.0428607499989</v>
      </c>
      <c r="E17" s="24">
        <f>'Income Statement'!G21</f>
        <v>7908.8235672732499</v>
      </c>
      <c r="F17" s="24">
        <f>'Income Statement'!H21</f>
        <v>10139.987476155251</v>
      </c>
      <c r="G17" s="24">
        <f>'Income Statement'!I21</f>
        <v>12260.292066923002</v>
      </c>
      <c r="H17" s="24">
        <f>'Income Statement'!J21</f>
        <v>13876.174205239626</v>
      </c>
    </row>
    <row r="18" spans="2:8" ht="13" customHeight="1" x14ac:dyDescent="0.2">
      <c r="B18" s="31" t="s">
        <v>122</v>
      </c>
      <c r="C18" s="31" t="s">
        <v>123</v>
      </c>
      <c r="D18" s="36">
        <v>0.5</v>
      </c>
      <c r="E18" s="36">
        <v>1.5</v>
      </c>
      <c r="F18" s="36">
        <v>2.5</v>
      </c>
      <c r="G18" s="36">
        <v>3.5</v>
      </c>
      <c r="H18" s="36">
        <v>4.5</v>
      </c>
    </row>
    <row r="19" spans="2:8" ht="14" customHeight="1" x14ac:dyDescent="0.2">
      <c r="B19" s="26" t="s">
        <v>124</v>
      </c>
      <c r="C19" s="4"/>
      <c r="D19" s="37">
        <f>1/(1+C14)^D18</f>
        <v>0.95234761000068091</v>
      </c>
      <c r="E19" s="37">
        <f>1/(1+C14)^E18</f>
        <v>0.86374687414240092</v>
      </c>
      <c r="F19" s="37">
        <f>1/(1+C14)^F18</f>
        <v>0.78338902177770486</v>
      </c>
      <c r="G19" s="37">
        <f>1/(1+C14)^G18</f>
        <v>0.71050718423862291</v>
      </c>
      <c r="H19" s="37">
        <f>1/(1+C14)^H18</f>
        <v>0.64440583773963656</v>
      </c>
    </row>
    <row r="20" spans="2:8" ht="14" customHeight="1" x14ac:dyDescent="0.2">
      <c r="B20" s="27" t="s">
        <v>125</v>
      </c>
      <c r="D20" s="28">
        <f>D17*D19</f>
        <v>5464.6114045167315</v>
      </c>
      <c r="E20" s="28">
        <f>E17*E19</f>
        <v>6831.2216343760219</v>
      </c>
      <c r="F20" s="28">
        <f>F17*F19</f>
        <v>7943.5548697834402</v>
      </c>
      <c r="G20" s="28">
        <f>G17*G19</f>
        <v>8711.0255944125893</v>
      </c>
      <c r="H20" s="28">
        <f>H17*H19</f>
        <v>8941.8876633485761</v>
      </c>
    </row>
    <row r="21" spans="2:8" ht="8" customHeight="1" x14ac:dyDescent="0.2">
      <c r="B21" s="72" t="s">
        <v>126</v>
      </c>
      <c r="C21" s="62"/>
      <c r="D21" s="62"/>
      <c r="E21" s="62"/>
      <c r="F21" s="62"/>
      <c r="G21" s="62"/>
      <c r="H21" s="62"/>
    </row>
    <row r="22" spans="2:8" ht="14" customHeight="1" x14ac:dyDescent="0.2">
      <c r="B22" s="21" t="s">
        <v>127</v>
      </c>
      <c r="C22" s="29">
        <f>SUM(D20:H20)</f>
        <v>37892.301166437363</v>
      </c>
      <c r="D22" s="4"/>
      <c r="E22" s="4"/>
      <c r="F22" s="4"/>
      <c r="G22" s="4"/>
      <c r="H22" s="4"/>
    </row>
    <row r="23" spans="2:8" ht="14" customHeight="1" x14ac:dyDescent="0.2">
      <c r="B23" s="31" t="s">
        <v>128</v>
      </c>
      <c r="C23" s="30">
        <v>3.5000000000000003E-2</v>
      </c>
    </row>
    <row r="24" spans="2:8" ht="14" customHeight="1" x14ac:dyDescent="0.2">
      <c r="B24" s="26" t="s">
        <v>129</v>
      </c>
      <c r="C24" s="19">
        <f>H17*(1+C23)</f>
        <v>14361.840302423012</v>
      </c>
      <c r="D24" s="4"/>
      <c r="E24" s="4"/>
      <c r="F24" s="4"/>
      <c r="G24" s="4"/>
      <c r="H24" s="4"/>
    </row>
    <row r="25" spans="2:8" ht="14" customHeight="1" x14ac:dyDescent="0.2">
      <c r="B25" s="31" t="s">
        <v>130</v>
      </c>
      <c r="C25" s="20">
        <f>C24/(C14-C23)</f>
        <v>212524.93892056812</v>
      </c>
    </row>
    <row r="26" spans="2:8" ht="14" customHeight="1" x14ac:dyDescent="0.2">
      <c r="B26" s="26" t="s">
        <v>131</v>
      </c>
      <c r="C26" s="19">
        <f>C25*H19</f>
        <v>136952.31130567379</v>
      </c>
      <c r="D26" s="4"/>
      <c r="E26" s="4"/>
      <c r="F26" s="4"/>
      <c r="G26" s="4"/>
      <c r="H26" s="4"/>
    </row>
    <row r="27" spans="2:8" ht="14" customHeight="1" x14ac:dyDescent="0.2">
      <c r="B27" s="38" t="s">
        <v>132</v>
      </c>
      <c r="C27" s="39">
        <f>C22+C26</f>
        <v>174844.61247211116</v>
      </c>
      <c r="D27" s="40"/>
      <c r="E27" s="40"/>
      <c r="F27" s="40"/>
      <c r="G27" s="40"/>
      <c r="H27" s="40"/>
    </row>
    <row r="28" spans="2:8" ht="14" customHeight="1" x14ac:dyDescent="0.2">
      <c r="B28" s="26" t="s">
        <v>133</v>
      </c>
      <c r="C28" s="41">
        <v>5700</v>
      </c>
      <c r="D28" s="4"/>
      <c r="E28" s="4"/>
      <c r="F28" s="4"/>
      <c r="G28" s="4"/>
      <c r="H28" s="4"/>
    </row>
    <row r="29" spans="2:8" ht="14" customHeight="1" x14ac:dyDescent="0.2">
      <c r="B29" s="31" t="s">
        <v>134</v>
      </c>
      <c r="C29" s="41">
        <v>1700</v>
      </c>
    </row>
    <row r="30" spans="2:8" ht="14" customHeight="1" x14ac:dyDescent="0.2">
      <c r="B30" s="21" t="s">
        <v>135</v>
      </c>
      <c r="C30" s="29">
        <f>C27+C28-C29</f>
        <v>178844.61247211116</v>
      </c>
      <c r="D30" s="4"/>
      <c r="E30" s="4"/>
      <c r="F30" s="4"/>
      <c r="G30" s="4"/>
      <c r="H30" s="4"/>
    </row>
    <row r="31" spans="2:8" ht="14" customHeight="1" x14ac:dyDescent="0.2">
      <c r="B31" s="31" t="s">
        <v>136</v>
      </c>
      <c r="C31" s="18">
        <v>1620</v>
      </c>
    </row>
    <row r="32" spans="2:8" ht="14" customHeight="1" x14ac:dyDescent="0.2">
      <c r="B32" s="38" t="s">
        <v>137</v>
      </c>
      <c r="C32" s="42">
        <f>C30/C31</f>
        <v>110.39790893340195</v>
      </c>
      <c r="D32" s="40"/>
      <c r="E32" s="40"/>
      <c r="F32" s="40"/>
      <c r="G32" s="40"/>
      <c r="H32" s="40"/>
    </row>
    <row r="33" spans="1:9" ht="14" customHeight="1" x14ac:dyDescent="0.2">
      <c r="B33" s="31" t="s">
        <v>138</v>
      </c>
      <c r="C33" s="41">
        <v>120</v>
      </c>
    </row>
    <row r="34" spans="1:9" ht="14" customHeight="1" x14ac:dyDescent="0.2">
      <c r="B34" s="38" t="s">
        <v>139</v>
      </c>
      <c r="C34" s="43">
        <f>C32/C33-1</f>
        <v>-8.0017425554983701E-2</v>
      </c>
      <c r="D34" s="40"/>
      <c r="E34" s="40"/>
      <c r="F34" s="40"/>
      <c r="G34" s="40"/>
      <c r="H34" s="40"/>
    </row>
    <row r="37" spans="1:9" ht="4" customHeight="1" x14ac:dyDescent="0.2">
      <c r="A37" s="1"/>
      <c r="B37" s="1"/>
      <c r="C37" s="1"/>
      <c r="D37" s="1"/>
      <c r="E37" s="1"/>
      <c r="F37" s="1"/>
      <c r="G37" s="1"/>
      <c r="H37" s="1"/>
      <c r="I37" s="1"/>
    </row>
  </sheetData>
  <mergeCells count="4">
    <mergeCell ref="B4:H4"/>
    <mergeCell ref="B21:H21"/>
    <mergeCell ref="B2:H2"/>
    <mergeCell ref="B15:H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9"/>
  <sheetViews>
    <sheetView showGridLines="0" workbookViewId="0"/>
  </sheetViews>
  <sheetFormatPr baseColWidth="10" defaultColWidth="8.83203125" defaultRowHeight="15" x14ac:dyDescent="0.2"/>
  <cols>
    <col min="1" max="1" width="1.5" customWidth="1"/>
    <col min="2" max="2" width="22" customWidth="1"/>
    <col min="3" max="8" width="13" customWidth="1"/>
    <col min="9" max="9" width="6.6640625" customWidth="1"/>
  </cols>
  <sheetData>
    <row r="1" spans="1:9" ht="5" customHeight="1" x14ac:dyDescent="0.2">
      <c r="A1" s="1"/>
      <c r="B1" s="1"/>
      <c r="C1" s="1"/>
      <c r="D1" s="1"/>
      <c r="E1" s="1"/>
      <c r="F1" s="1"/>
      <c r="G1" s="1"/>
      <c r="H1" s="1"/>
      <c r="I1" s="1"/>
    </row>
    <row r="2" spans="1:9" ht="20" customHeight="1" x14ac:dyDescent="0.2">
      <c r="B2" s="81" t="s">
        <v>140</v>
      </c>
      <c r="C2" s="62"/>
      <c r="D2" s="62"/>
      <c r="E2" s="62"/>
      <c r="F2" s="62"/>
      <c r="G2" s="62"/>
      <c r="H2" s="62"/>
    </row>
    <row r="3" spans="1:9" ht="8" customHeight="1" x14ac:dyDescent="0.2">
      <c r="B3" s="72" t="s">
        <v>141</v>
      </c>
      <c r="C3" s="62"/>
      <c r="D3" s="62"/>
      <c r="E3" s="62"/>
      <c r="F3" s="62"/>
      <c r="G3" s="62"/>
      <c r="H3" s="62"/>
    </row>
    <row r="4" spans="1:9" ht="14" customHeight="1" x14ac:dyDescent="0.2">
      <c r="B4" s="44" t="s">
        <v>142</v>
      </c>
      <c r="C4" s="45">
        <v>7.4999999999999997E-2</v>
      </c>
      <c r="D4" s="45">
        <v>0.08</v>
      </c>
      <c r="E4" s="45">
        <v>8.5000000000000006E-2</v>
      </c>
      <c r="F4" s="45">
        <v>0.09</v>
      </c>
      <c r="G4" s="45">
        <v>9.5000000000000001E-2</v>
      </c>
      <c r="H4" s="45">
        <v>0.1</v>
      </c>
      <c r="I4" s="45">
        <v>0.105</v>
      </c>
    </row>
    <row r="5" spans="1:9" ht="14" customHeight="1" x14ac:dyDescent="0.2">
      <c r="B5" s="45">
        <v>2.5000000000000001E-2</v>
      </c>
      <c r="C5" s="46">
        <v>154.30000000000001</v>
      </c>
      <c r="D5" s="47">
        <v>140.1</v>
      </c>
      <c r="E5" s="47">
        <v>128.30000000000001</v>
      </c>
      <c r="F5" s="48">
        <v>118.2</v>
      </c>
      <c r="G5" s="49">
        <v>109.7</v>
      </c>
      <c r="H5" s="49">
        <v>102.2</v>
      </c>
      <c r="I5" s="49">
        <v>95.7</v>
      </c>
    </row>
    <row r="6" spans="1:9" ht="14" customHeight="1" x14ac:dyDescent="0.2">
      <c r="B6" s="45">
        <v>0.03</v>
      </c>
      <c r="C6" s="46">
        <v>169.1</v>
      </c>
      <c r="D6" s="46">
        <v>152</v>
      </c>
      <c r="E6" s="47">
        <v>138</v>
      </c>
      <c r="F6" s="47">
        <v>126.4</v>
      </c>
      <c r="G6" s="50">
        <v>116.5</v>
      </c>
      <c r="H6" s="49">
        <v>108.1</v>
      </c>
      <c r="I6" s="49">
        <v>100.8</v>
      </c>
    </row>
    <row r="7" spans="1:9" ht="14" customHeight="1" x14ac:dyDescent="0.2">
      <c r="B7" s="45">
        <v>3.5000000000000003E-2</v>
      </c>
      <c r="C7" s="46">
        <v>187.6</v>
      </c>
      <c r="D7" s="46">
        <v>166.5</v>
      </c>
      <c r="E7" s="46">
        <v>149.69999999999999</v>
      </c>
      <c r="F7" s="47">
        <v>136</v>
      </c>
      <c r="G7" s="47">
        <v>124.5</v>
      </c>
      <c r="H7" s="48">
        <v>114.8</v>
      </c>
      <c r="I7" s="49">
        <v>106.5</v>
      </c>
    </row>
    <row r="8" spans="1:9" ht="14" customHeight="1" x14ac:dyDescent="0.2">
      <c r="B8" s="45">
        <v>0.04</v>
      </c>
      <c r="C8" s="46">
        <v>211.3</v>
      </c>
      <c r="D8" s="46">
        <v>184.7</v>
      </c>
      <c r="E8" s="46">
        <v>164</v>
      </c>
      <c r="F8" s="46">
        <v>147.5</v>
      </c>
      <c r="G8" s="47">
        <v>133.9</v>
      </c>
      <c r="H8" s="47">
        <v>122.7</v>
      </c>
      <c r="I8" s="50">
        <v>113.1</v>
      </c>
    </row>
    <row r="9" spans="1:9" ht="14" customHeight="1" x14ac:dyDescent="0.2">
      <c r="B9" s="45">
        <v>4.4999999999999998E-2</v>
      </c>
      <c r="C9" s="46">
        <v>243</v>
      </c>
      <c r="D9" s="46">
        <v>208.1</v>
      </c>
      <c r="E9" s="46">
        <v>181.9</v>
      </c>
      <c r="F9" s="46">
        <v>161.5</v>
      </c>
      <c r="G9" s="46">
        <v>145.30000000000001</v>
      </c>
      <c r="H9" s="47">
        <v>132</v>
      </c>
      <c r="I9" s="47">
        <v>120.9</v>
      </c>
    </row>
    <row r="11" spans="1:9" ht="8" customHeight="1" x14ac:dyDescent="0.2">
      <c r="B11" s="72" t="s">
        <v>143</v>
      </c>
      <c r="C11" s="62"/>
      <c r="D11" s="62"/>
      <c r="E11" s="62"/>
      <c r="F11" s="62"/>
      <c r="G11" s="62"/>
      <c r="H11" s="62"/>
    </row>
    <row r="12" spans="1:9" ht="16" customHeight="1" x14ac:dyDescent="0.2">
      <c r="B12" s="8" t="s">
        <v>62</v>
      </c>
      <c r="C12" s="51" t="s">
        <v>144</v>
      </c>
      <c r="D12" s="10"/>
      <c r="E12" s="10" t="s">
        <v>145</v>
      </c>
      <c r="F12" s="10"/>
      <c r="G12" s="52" t="s">
        <v>146</v>
      </c>
      <c r="H12" s="10"/>
    </row>
    <row r="13" spans="1:9" ht="14" customHeight="1" x14ac:dyDescent="0.2">
      <c r="B13" s="26" t="s">
        <v>147</v>
      </c>
      <c r="C13" s="82" t="s">
        <v>148</v>
      </c>
      <c r="D13" s="62"/>
      <c r="E13" s="82" t="s">
        <v>32</v>
      </c>
      <c r="F13" s="62"/>
      <c r="G13" s="82" t="s">
        <v>149</v>
      </c>
      <c r="H13" s="62"/>
    </row>
    <row r="14" spans="1:9" ht="14" customHeight="1" x14ac:dyDescent="0.2">
      <c r="B14" s="31" t="s">
        <v>35</v>
      </c>
      <c r="C14" s="83" t="s">
        <v>150</v>
      </c>
      <c r="D14" s="62"/>
      <c r="E14" s="83" t="s">
        <v>36</v>
      </c>
      <c r="F14" s="62"/>
      <c r="G14" s="83" t="s">
        <v>151</v>
      </c>
      <c r="H14" s="62"/>
    </row>
    <row r="15" spans="1:9" ht="14" customHeight="1" x14ac:dyDescent="0.2">
      <c r="B15" s="26" t="s">
        <v>152</v>
      </c>
      <c r="C15" s="82" t="s">
        <v>153</v>
      </c>
      <c r="D15" s="62"/>
      <c r="E15" s="82" t="s">
        <v>24</v>
      </c>
      <c r="F15" s="62"/>
      <c r="G15" s="82" t="s">
        <v>154</v>
      </c>
      <c r="H15" s="62"/>
    </row>
    <row r="16" spans="1:9" ht="14" customHeight="1" x14ac:dyDescent="0.2">
      <c r="B16" s="31" t="s">
        <v>27</v>
      </c>
      <c r="C16" s="83" t="s">
        <v>155</v>
      </c>
      <c r="D16" s="62"/>
      <c r="E16" s="83" t="s">
        <v>28</v>
      </c>
      <c r="F16" s="62"/>
      <c r="G16" s="83" t="s">
        <v>156</v>
      </c>
      <c r="H16" s="62"/>
    </row>
    <row r="17" spans="1:9" ht="14" customHeight="1" x14ac:dyDescent="0.2">
      <c r="B17" s="21" t="s">
        <v>11</v>
      </c>
      <c r="C17" s="84">
        <v>68</v>
      </c>
      <c r="D17" s="62"/>
      <c r="E17" s="84">
        <v>136</v>
      </c>
      <c r="F17" s="62"/>
      <c r="G17" s="84">
        <v>283</v>
      </c>
      <c r="H17" s="62"/>
    </row>
    <row r="18" spans="1:9" ht="14" customHeight="1" x14ac:dyDescent="0.2">
      <c r="B18" s="31" t="s">
        <v>157</v>
      </c>
      <c r="C18" s="86">
        <v>-0.43333333333333329</v>
      </c>
      <c r="D18" s="62"/>
      <c r="E18" s="85">
        <v>0.1333333333333333</v>
      </c>
      <c r="F18" s="62"/>
      <c r="G18" s="85">
        <v>1.3583333333333329</v>
      </c>
      <c r="H18" s="62"/>
    </row>
    <row r="20" spans="1:9" ht="8" customHeight="1" x14ac:dyDescent="0.2">
      <c r="B20" s="72" t="s">
        <v>158</v>
      </c>
      <c r="C20" s="62"/>
      <c r="D20" s="62"/>
      <c r="E20" s="62"/>
      <c r="F20" s="62"/>
      <c r="G20" s="62"/>
      <c r="H20" s="62"/>
    </row>
    <row r="21" spans="1:9" ht="14" customHeight="1" x14ac:dyDescent="0.2">
      <c r="B21" s="8" t="s">
        <v>159</v>
      </c>
      <c r="C21" s="9" t="s">
        <v>160</v>
      </c>
      <c r="D21" s="9" t="s">
        <v>161</v>
      </c>
      <c r="E21" s="9" t="s">
        <v>162</v>
      </c>
      <c r="F21" s="9" t="s">
        <v>163</v>
      </c>
      <c r="G21" s="9" t="s">
        <v>164</v>
      </c>
      <c r="H21" s="9"/>
    </row>
    <row r="22" spans="1:9" ht="14" customHeight="1" x14ac:dyDescent="0.2">
      <c r="B22" s="26" t="s">
        <v>165</v>
      </c>
      <c r="C22" s="19">
        <v>31434</v>
      </c>
      <c r="D22" s="53">
        <v>135</v>
      </c>
      <c r="E22" s="54">
        <v>0.125</v>
      </c>
      <c r="F22" s="55" t="s">
        <v>166</v>
      </c>
      <c r="G22" s="63" t="s">
        <v>167</v>
      </c>
      <c r="H22" s="62"/>
    </row>
    <row r="23" spans="1:9" ht="14" customHeight="1" x14ac:dyDescent="0.2">
      <c r="B23" s="27" t="s">
        <v>168</v>
      </c>
      <c r="C23" s="20">
        <v>41565</v>
      </c>
      <c r="D23" s="56">
        <v>150</v>
      </c>
      <c r="E23" s="57">
        <v>0.25</v>
      </c>
      <c r="F23" s="58" t="s">
        <v>169</v>
      </c>
      <c r="G23" s="64" t="s">
        <v>170</v>
      </c>
      <c r="H23" s="62"/>
    </row>
    <row r="24" spans="1:9" ht="14" customHeight="1" x14ac:dyDescent="0.2">
      <c r="B24" s="26" t="s">
        <v>171</v>
      </c>
      <c r="C24" s="19">
        <v>24500</v>
      </c>
      <c r="D24" s="53">
        <v>124</v>
      </c>
      <c r="E24" s="54">
        <v>3.3333333333333437E-2</v>
      </c>
      <c r="F24" s="55" t="s">
        <v>172</v>
      </c>
      <c r="G24" s="63" t="s">
        <v>173</v>
      </c>
      <c r="H24" s="62"/>
    </row>
    <row r="25" spans="1:9" ht="14" customHeight="1" x14ac:dyDescent="0.2">
      <c r="B25" s="31" t="s">
        <v>174</v>
      </c>
      <c r="C25" s="20">
        <v>70000</v>
      </c>
      <c r="D25" s="59">
        <v>193</v>
      </c>
      <c r="E25" s="57">
        <v>0.60833333333333339</v>
      </c>
      <c r="F25" s="58" t="s">
        <v>175</v>
      </c>
      <c r="G25" s="64" t="s">
        <v>176</v>
      </c>
      <c r="H25" s="62"/>
    </row>
    <row r="27" spans="1:9" ht="14" customHeight="1" x14ac:dyDescent="0.2">
      <c r="B27" s="21" t="s">
        <v>177</v>
      </c>
      <c r="C27" s="4"/>
      <c r="D27" s="60">
        <v>154</v>
      </c>
      <c r="E27" s="87" t="s">
        <v>178</v>
      </c>
      <c r="F27" s="62"/>
      <c r="G27" s="62"/>
      <c r="H27" s="62"/>
    </row>
    <row r="29" spans="1:9" ht="4" customHeight="1" x14ac:dyDescent="0.2">
      <c r="A29" s="1"/>
      <c r="B29" s="1"/>
      <c r="C29" s="1"/>
      <c r="D29" s="1"/>
      <c r="E29" s="1"/>
      <c r="F29" s="1"/>
      <c r="G29" s="1"/>
      <c r="H29" s="1"/>
      <c r="I29" s="1"/>
    </row>
  </sheetData>
  <mergeCells count="27">
    <mergeCell ref="G25:H25"/>
    <mergeCell ref="C13:D13"/>
    <mergeCell ref="C18:D18"/>
    <mergeCell ref="E18:F18"/>
    <mergeCell ref="E27:H27"/>
    <mergeCell ref="G24:H24"/>
    <mergeCell ref="G15:H15"/>
    <mergeCell ref="B2:H2"/>
    <mergeCell ref="G14:H14"/>
    <mergeCell ref="B11:H11"/>
    <mergeCell ref="C17:D17"/>
    <mergeCell ref="E16:F16"/>
    <mergeCell ref="G16:H16"/>
    <mergeCell ref="E13:F13"/>
    <mergeCell ref="G13:H13"/>
    <mergeCell ref="B3:H3"/>
    <mergeCell ref="G18:H18"/>
    <mergeCell ref="E15:F15"/>
    <mergeCell ref="C15:D15"/>
    <mergeCell ref="C14:D14"/>
    <mergeCell ref="E14:F14"/>
    <mergeCell ref="G23:H23"/>
    <mergeCell ref="E17:F17"/>
    <mergeCell ref="B20:H20"/>
    <mergeCell ref="G17:H17"/>
    <mergeCell ref="C16:D16"/>
    <mergeCell ref="G22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Assumptions</vt:lpstr>
      <vt:lpstr>Income Statement</vt:lpstr>
      <vt:lpstr>DCF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Rodriguez</cp:lastModifiedBy>
  <dcterms:created xsi:type="dcterms:W3CDTF">2026-02-26T16:15:40Z</dcterms:created>
  <dcterms:modified xsi:type="dcterms:W3CDTF">2026-02-26T16:19:26Z</dcterms:modified>
</cp:coreProperties>
</file>