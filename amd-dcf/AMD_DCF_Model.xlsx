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ssumptions" sheetId="2" state="visible" r:id="rId2"/>
    <sheet name="Income Statement" sheetId="3" state="visible" r:id="rId3"/>
    <sheet name="DCF" sheetId="4" state="visible" r:id="rId4"/>
    <sheet name="Sensitiv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yyyy-mm-dd"/>
    <numFmt numFmtId="166" formatCode="mmm d, yyyy"/>
    <numFmt numFmtId="167" formatCode="&quot;$&quot;#,##0.00"/>
    <numFmt numFmtId="168" formatCode="&quot;$&quot;#,##0"/>
    <numFmt numFmtId="169" formatCode="0.0000"/>
    <numFmt numFmtId="170" formatCode="0.0&quot;x&quot;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8"/>
    </font>
    <font>
      <name val="Calibri"/>
      <color rgb="001F1F1F"/>
      <sz val="9"/>
    </font>
    <font>
      <name val="Calibri"/>
      <color rgb="001F3864"/>
      <sz val="9"/>
    </font>
    <font>
      <name val="Calibri"/>
      <b val="1"/>
      <color rgb="001F1F1F"/>
      <sz val="9"/>
    </font>
    <font>
      <name val="Calibri"/>
      <i val="1"/>
      <color rgb="001F1F1F"/>
      <sz val="9"/>
    </font>
    <font>
      <name val="Calibri"/>
      <i val="1"/>
      <color rgb="00595959"/>
      <sz val="8"/>
    </font>
    <font>
      <name val="Calibri"/>
      <i val="1"/>
      <color rgb="00595959"/>
      <sz val="7"/>
    </font>
    <font>
      <name val="Calibri"/>
      <b val="1"/>
      <color rgb="001F3864"/>
      <sz val="9"/>
    </font>
    <font>
      <name val="Calibri"/>
      <i val="1"/>
      <color rgb="001F1F1F"/>
      <sz val="8"/>
    </font>
    <font>
      <name val="Calibri"/>
      <b val="1"/>
      <color rgb="001F1F1F"/>
      <sz val="8"/>
    </font>
    <font>
      <name val="Calibri"/>
      <color rgb="001F1F1F"/>
      <sz val="8"/>
    </font>
    <font>
      <name val="Calibri"/>
      <b val="1"/>
      <color rgb="001F3864"/>
      <sz val="20"/>
    </font>
    <font>
      <name val="Calibri"/>
      <i val="1"/>
      <color rgb="00595959"/>
      <sz val="10"/>
    </font>
    <font>
      <name val="Calibri"/>
      <color rgb="00595959"/>
      <sz val="9"/>
    </font>
    <font>
      <name val="Calibri"/>
      <b val="1"/>
      <color rgb="001F3864"/>
      <sz val="8"/>
    </font>
    <font>
      <name val="Calibri"/>
      <b val="1"/>
      <color rgb="00C00000"/>
      <sz val="8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17375E"/>
      </patternFill>
    </fill>
    <fill>
      <patternFill patternType="solid">
        <fgColor rgb="00F5F5F5"/>
      </patternFill>
    </fill>
    <fill>
      <patternFill patternType="solid">
        <fgColor rgb="00DBE5F1"/>
      </patternFill>
    </fill>
    <fill>
      <patternFill patternType="solid">
        <fgColor rgb="00EBF1DE"/>
      </patternFill>
    </fill>
    <fill>
      <patternFill patternType="solid">
        <fgColor rgb="00C00000"/>
      </patternFill>
    </fill>
    <fill>
      <patternFill patternType="solid">
        <f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1">
    <xf numFmtId="0" fontId="0" fillId="0" borderId="0" pivotButton="0" quotePrefix="0" xfId="0"/>
    <xf numFmtId="0" fontId="0" fillId="2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/>
    </xf>
    <xf numFmtId="0" fontId="13" fillId="5" borderId="0" pivotButton="0" quotePrefix="0" xfId="0"/>
    <xf numFmtId="0" fontId="17" fillId="5" borderId="0" applyAlignment="1" pivotButton="0" quotePrefix="0" xfId="0">
      <alignment horizontal="right" vertical="center"/>
    </xf>
    <xf numFmtId="0" fontId="0" fillId="5" borderId="0" pivotButton="0" quotePrefix="0" xfId="0"/>
    <xf numFmtId="0" fontId="13" fillId="0" borderId="0" pivotButton="0" quotePrefix="0" xfId="0"/>
    <xf numFmtId="0" fontId="17" fillId="0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top" wrapText="1"/>
    </xf>
    <xf numFmtId="0" fontId="17" fillId="5" borderId="0" applyAlignment="1" pivotButton="0" quotePrefix="0" xfId="0">
      <alignment horizontal="left" vertical="top" wrapText="1"/>
    </xf>
    <xf numFmtId="0" fontId="13" fillId="5" borderId="0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center"/>
    </xf>
    <xf numFmtId="0" fontId="18" fillId="5" borderId="0" pivotButton="0" quotePrefix="0" xfId="0"/>
    <xf numFmtId="0" fontId="13" fillId="5" borderId="0" applyAlignment="1" pivotButton="0" quotePrefix="0" xfId="0">
      <alignment horizontal="left" vertical="center" wrapText="1"/>
    </xf>
    <xf numFmtId="0" fontId="18" fillId="0" borderId="0" pivotButton="0" quotePrefix="0" xfId="0"/>
    <xf numFmtId="0" fontId="13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 indent="1"/>
    </xf>
    <xf numFmtId="0" fontId="0" fillId="5" borderId="0" applyAlignment="1" pivotButton="0" quotePrefix="0" xfId="0">
      <alignment horizontal="center" vertical="center"/>
    </xf>
    <xf numFmtId="164" fontId="4" fillId="5" borderId="0" applyAlignment="1" pivotButton="0" quotePrefix="0" xfId="0">
      <alignment horizontal="right" vertical="center"/>
    </xf>
    <xf numFmtId="164" fontId="5" fillId="6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right" vertical="center"/>
    </xf>
    <xf numFmtId="3" fontId="5" fillId="6" borderId="0" applyAlignment="1" pivotButton="0" quotePrefix="0" xfId="0">
      <alignment horizontal="right" vertical="center"/>
    </xf>
    <xf numFmtId="3" fontId="4" fillId="5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0" fontId="6" fillId="5" borderId="0" applyAlignment="1" pivotButton="0" quotePrefix="0" xfId="0">
      <alignment horizontal="left" vertical="center"/>
    </xf>
    <xf numFmtId="3" fontId="6" fillId="5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indent="1"/>
    </xf>
    <xf numFmtId="166" fontId="5" fillId="6" borderId="0" applyAlignment="1" pivotButton="0" quotePrefix="0" xfId="0">
      <alignment horizontal="right" vertical="center"/>
    </xf>
    <xf numFmtId="0" fontId="8" fillId="0" borderId="0" pivotButton="0" quotePrefix="0" xfId="0"/>
    <xf numFmtId="2" fontId="4" fillId="0" borderId="0" applyAlignment="1" pivotButton="0" quotePrefix="0" xfId="0">
      <alignment horizontal="right" vertical="center"/>
    </xf>
    <xf numFmtId="167" fontId="5" fillId="6" borderId="0" applyAlignment="1" pivotButton="0" quotePrefix="0" xfId="0">
      <alignment horizontal="right" vertical="center"/>
    </xf>
    <xf numFmtId="10" fontId="5" fillId="6" borderId="0" applyAlignment="1" pivotButton="0" quotePrefix="0" xfId="0">
      <alignment horizontal="right" vertical="center"/>
    </xf>
    <xf numFmtId="2" fontId="5" fillId="6" borderId="0" applyAlignment="1" pivotButton="0" quotePrefix="0" xfId="0">
      <alignment horizontal="right" vertical="center"/>
    </xf>
    <xf numFmtId="10" fontId="4" fillId="0" borderId="0" applyAlignment="1" pivotButton="0" quotePrefix="0" xfId="0">
      <alignment horizontal="right" vertical="center"/>
    </xf>
    <xf numFmtId="168" fontId="5" fillId="6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center" vertical="center"/>
    </xf>
    <xf numFmtId="0" fontId="0" fillId="6" borderId="0" pivotButton="0" quotePrefix="0" xfId="0"/>
    <xf numFmtId="0" fontId="9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center"/>
    </xf>
    <xf numFmtId="3" fontId="6" fillId="7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3" fontId="4" fillId="7" borderId="0" applyAlignment="1" pivotButton="0" quotePrefix="0" xfId="0">
      <alignment horizontal="right" vertical="center"/>
    </xf>
    <xf numFmtId="3" fontId="10" fillId="5" borderId="0" applyAlignment="1" pivotButton="0" quotePrefix="0" xfId="0">
      <alignment horizontal="right" vertical="center"/>
    </xf>
    <xf numFmtId="10" fontId="4" fillId="7" borderId="0" applyAlignment="1" pivotButton="0" quotePrefix="0" xfId="0">
      <alignment horizontal="right" vertical="center"/>
    </xf>
    <xf numFmtId="2" fontId="4" fillId="7" borderId="0" applyAlignment="1" pivotButton="0" quotePrefix="0" xfId="0">
      <alignment horizontal="right" vertical="center"/>
    </xf>
    <xf numFmtId="10" fontId="6" fillId="0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3" fontId="10" fillId="0" borderId="0" applyAlignment="1" pivotButton="0" quotePrefix="0" xfId="0">
      <alignment horizontal="right" vertical="center"/>
    </xf>
    <xf numFmtId="0" fontId="6" fillId="6" borderId="0" applyAlignment="1" pivotButton="0" quotePrefix="0" xfId="0">
      <alignment horizontal="left" vertical="center"/>
    </xf>
    <xf numFmtId="3" fontId="10" fillId="6" borderId="0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167" fontId="10" fillId="6" borderId="0" applyAlignment="1" pivotButton="0" quotePrefix="0" xfId="0">
      <alignment horizontal="right" vertical="center"/>
    </xf>
    <xf numFmtId="167" fontId="4" fillId="7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center"/>
    </xf>
    <xf numFmtId="168" fontId="10" fillId="6" borderId="0" applyAlignment="1" pivotButton="0" quotePrefix="0" xfId="0">
      <alignment horizontal="right" vertical="center"/>
    </xf>
    <xf numFmtId="164" fontId="10" fillId="6" borderId="0" applyAlignment="1" pivotButton="0" quotePrefix="0" xfId="0">
      <alignment horizontal="right" vertical="center"/>
    </xf>
    <xf numFmtId="49" fontId="10" fillId="6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right" vertical="center"/>
    </xf>
    <xf numFmtId="10" fontId="2" fillId="3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168" fontId="10" fillId="6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2" fillId="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164" fontId="4" fillId="5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0" fontId="4" fillId="5" borderId="0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168" fontId="10" fillId="5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 vertical="center"/>
    </xf>
    <xf numFmtId="3" fontId="4" fillId="5" borderId="0" applyAlignment="1" pivotButton="0" quotePrefix="0" xfId="0">
      <alignment horizontal="center" vertical="center"/>
    </xf>
    <xf numFmtId="168" fontId="4" fillId="5" borderId="0" applyAlignment="1" pivotButton="0" quotePrefix="0" xfId="0">
      <alignment horizontal="center" vertical="center"/>
    </xf>
    <xf numFmtId="164" fontId="4" fillId="7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167" fontId="10" fillId="6" borderId="0" applyAlignment="1" pivotButton="0" quotePrefix="0" xfId="0">
      <alignment horizontal="center" vertical="center"/>
    </xf>
    <xf numFmtId="168" fontId="10" fillId="0" borderId="0" applyAlignment="1" pivotButton="0" quotePrefix="0" xfId="0">
      <alignment horizontal="center" vertical="center"/>
    </xf>
    <xf numFmtId="49" fontId="1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</row>
    <row r="3" ht="40" customHeight="1">
      <c r="B3" s="2" t="inlineStr">
        <is>
          <t>Advanced Micro Devices, Inc.  (NASDAQ: AMD)</t>
        </is>
      </c>
    </row>
    <row r="4">
      <c r="B4" s="3" t="inlineStr">
        <is>
          <t>Equity Research  |  Coverage Update  |  October 2026</t>
        </is>
      </c>
    </row>
    <row r="5">
      <c r="B5" s="4" t="inlineStr">
        <is>
          <t>Semiconductors &amp; Semiconductor Equipment  |  Francisco Rodriguez</t>
        </is>
      </c>
    </row>
    <row r="6" ht="4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</row>
    <row r="7" ht="38" customHeight="1">
      <c r="B7" s="6">
        <f>"RATING"&amp;CHAR(10)&amp;DCF!C41</f>
        <v/>
      </c>
      <c r="D7" s="7">
        <f>"PRICE TARGET"&amp;CHAR(10)&amp;TEXT(DCF!C39,"$#,##0")</f>
        <v/>
      </c>
      <c r="F7" s="8">
        <f>"CURRENT PRICE"&amp;CHAR(10)&amp;TEXT(DCF!C36,"$#,##0.00")</f>
        <v/>
      </c>
      <c r="H7" s="9">
        <f>"UPSIDE"&amp;CHAR(10)&amp;TEXT(DCF!C40,"+0.0%;-0.0%")</f>
        <v/>
      </c>
    </row>
    <row r="9">
      <c r="B9" s="10" t="inlineStr">
        <is>
          <t>KEY STATISTICS</t>
        </is>
      </c>
      <c r="F9" s="10" t="inlineStr">
        <is>
          <t>VALUATION SUMMARY</t>
        </is>
      </c>
    </row>
    <row r="10" ht="13" customHeight="1">
      <c r="B10" s="11" t="inlineStr">
        <is>
          <t>Fiscal Year End</t>
        </is>
      </c>
      <c r="D10" s="12">
        <f>"December"</f>
        <v/>
      </c>
      <c r="E10" s="13" t="n"/>
      <c r="F10" s="11" t="inlineStr">
        <is>
          <t>Base DCF Value</t>
        </is>
      </c>
      <c r="H10" s="12">
        <f>TEXT(DCF!C35,"$#,##0")</f>
        <v/>
      </c>
    </row>
    <row r="11" ht="13" customHeight="1">
      <c r="B11" s="14" t="inlineStr">
        <is>
          <t>Diluted Shares (M)</t>
        </is>
      </c>
      <c r="D11" s="15">
        <f>TEXT(DCF!C34,"#,##0")</f>
        <v/>
      </c>
      <c r="F11" s="14" t="inlineStr">
        <is>
          <t>Bull Case Value</t>
        </is>
      </c>
      <c r="H11" s="15">
        <f>TEXT(Sensitivity!C91,"$#,##0")</f>
        <v/>
      </c>
    </row>
    <row r="12" ht="13" customHeight="1">
      <c r="B12" s="11" t="inlineStr">
        <is>
          <t>Market Cap</t>
        </is>
      </c>
      <c r="D12" s="12">
        <f>"$"&amp;TEXT(DCF!C36*DCF!C34/1000,"#,##0")&amp;"B"</f>
        <v/>
      </c>
      <c r="E12" s="13" t="n"/>
      <c r="F12" s="11" t="inlineStr">
        <is>
          <t>Bear Case Value</t>
        </is>
      </c>
      <c r="H12" s="12">
        <f>TEXT(Sensitivity!C61,"$#,##0")</f>
        <v/>
      </c>
    </row>
    <row r="13" ht="13" customHeight="1">
      <c r="B13" s="14" t="inlineStr">
        <is>
          <t>Net Cash</t>
        </is>
      </c>
      <c r="D13" s="15">
        <f>"$"&amp;TEXT((DCF!C31-DCF!C32)/1000,"0.0")&amp;"B"</f>
        <v/>
      </c>
      <c r="F13" s="14" t="inlineStr">
        <is>
          <t>Prob.-Weighted Value</t>
        </is>
      </c>
      <c r="H13" s="15">
        <f>TEXT(Sensitivity!C40,"$#,##0")</f>
        <v/>
      </c>
    </row>
    <row r="14" ht="13" customHeight="1">
      <c r="B14" s="11" t="inlineStr">
        <is>
          <t>FY2025A Revenue</t>
        </is>
      </c>
      <c r="D14" s="12">
        <f>"$"&amp;TEXT('Income Statement'!F5/1000,"0.0")&amp;"B"</f>
        <v/>
      </c>
      <c r="E14" s="13" t="n"/>
      <c r="F14" s="11" t="inlineStr">
        <is>
          <t>Base WACC</t>
        </is>
      </c>
      <c r="H14" s="12">
        <f>TEXT(DCF!C14,"0.0%")</f>
        <v/>
      </c>
    </row>
    <row r="15" ht="13" customHeight="1">
      <c r="B15" s="14" t="inlineStr">
        <is>
          <t>FY2026E Revenue</t>
        </is>
      </c>
      <c r="D15" s="15">
        <f>"$"&amp;TEXT('Income Statement'!G5/1000,"0.0")&amp;"B"</f>
        <v/>
      </c>
      <c r="F15" s="14" t="inlineStr">
        <is>
          <t>Terminal Growth Rate</t>
        </is>
      </c>
      <c r="H15" s="15">
        <f>TEXT(DCF!C24,"0.0%")</f>
        <v/>
      </c>
    </row>
    <row r="16" ht="13" customHeight="1">
      <c r="B16" s="11" t="inlineStr">
        <is>
          <t>FY2025A EBITDA (GAAP)</t>
        </is>
      </c>
      <c r="D16" s="12">
        <f>"$"&amp;TEXT('Income Statement'!F9/1000,"0.0")&amp;"B"</f>
        <v/>
      </c>
      <c r="E16" s="13" t="n"/>
      <c r="F16" s="11" t="inlineStr">
        <is>
          <t>Revenue CAGR '25–'30E</t>
        </is>
      </c>
      <c r="H16" s="12">
        <f>TEXT(('Income Statement'!K5/'Income Statement'!F5)^(1/5)-1,"0.0%")</f>
        <v/>
      </c>
    </row>
    <row r="17" ht="13" customHeight="1">
      <c r="B17" s="14" t="inlineStr">
        <is>
          <t>EV / FY2027E EBITDA</t>
        </is>
      </c>
      <c r="D17" s="15">
        <f>TEXT((DCF!C36*DCF!C34+DCF!C32-DCF!C31)/'Income Statement'!H9,"0.0")&amp;"x"</f>
        <v/>
      </c>
      <c r="F17" s="14" t="inlineStr">
        <is>
          <t>Upside to PT</t>
        </is>
      </c>
      <c r="H17" s="15">
        <f>TEXT(DCF!C40,"+0.0%;-0.0%")</f>
        <v/>
      </c>
    </row>
    <row r="19">
      <c r="B19" s="16" t="inlineStr">
        <is>
          <t>INVESTMENT THESIS</t>
        </is>
      </c>
    </row>
    <row r="20" ht="70" customHeight="1">
      <c r="B20" s="17">
        <f>"The fundamental thesis has played out — FY2025A revenue grew 34% to $34.6B and Data Center revenue doubled YoY in Q2 2026 as MI350 ramped. Our refreshed 10-year DCF (Data Center "&amp;TEXT(Assumptions!G5,"0%")&amp;" growth in FY2026E, fading to "&amp;TEXT(Assumptions!P5,"0%")&amp;" by FY2035E) yields a "&amp;TEXT(DCF!C39,"$#,##0")&amp;" price target vs. "&amp;TEXT(DCF!C36,"$#,##0")&amp;" today. Rating: "&amp;DCF!C41&amp;". At ~"&amp;TEXT((DCF!C36*DCF!C34+DCF!C32-DCF!C31)/'Income Statement'!H9,"0")&amp;"x FY2027E EBITDA the stock already discounts execution at or above management's Analyst Day targets."</f>
        <v/>
      </c>
    </row>
    <row r="21" ht="48" customHeight="1">
      <c r="B21" s="18" t="inlineStr">
        <is>
          <t>1.  Data Center Is Now the Business</t>
        </is>
      </c>
      <c r="D21" s="19" t="inlineStr">
        <is>
          <t>Q2'26 Data Center revenue $6.7B (+107% YoY), 58% of company revenue. MI450 / Helios rack-scale ramp in H2 2026; OpenAI 6GW agreement begins deploying H2 2026.</t>
        </is>
      </c>
    </row>
    <row r="22" ht="48" customHeight="1">
      <c r="B22" s="20" t="inlineStr">
        <is>
          <t>2.  Valuation Already Prices Success</t>
        </is>
      </c>
      <c r="D22" s="17" t="inlineStr">
        <is>
          <t>Market cap near $1T. Our base case assumes ~46% Data Center CAGR FY25–FY30E — below the &gt;60% Analyst Day target — and still sits below the current price. Only our Bull case and the DC Super Bull scenario clear it.</t>
        </is>
      </c>
    </row>
    <row r="23" ht="48" customHeight="1">
      <c r="B23" s="18" t="inlineStr">
        <is>
          <t>3.  Margin Expansion Is Real</t>
        </is>
      </c>
      <c r="D23" s="19" t="inlineStr">
        <is>
          <t>GAAP gross margin 54% in Q2'26 (vs 40% a year earlier); Q3 guide ~56% non-GAAP. We model EBITDA margin rising from 20% (FY2025A) to 35% by FY2030E.</t>
        </is>
      </c>
    </row>
    <row r="24" ht="48" customHeight="1">
      <c r="B24" s="20" t="inlineStr">
        <is>
          <t>4.  What Changes Our View</t>
        </is>
      </c>
      <c r="D24" s="17" t="inlineStr">
        <is>
          <t>Evidence Data Center can compound above 55% through FY2030E (DC Bull), a lower cost of capital, or a pullback toward our probability-weighted value.</t>
        </is>
      </c>
    </row>
    <row r="26">
      <c r="B26" s="21" t="inlineStr">
        <is>
          <t>KEY RISKS</t>
        </is>
      </c>
    </row>
    <row r="27" ht="13" customHeight="1">
      <c r="B27" s="22" t="inlineStr">
        <is>
          <t>▪  Upside risk</t>
        </is>
      </c>
      <c r="D27" s="23" t="inlineStr">
        <is>
          <t>AI capex cycle extends; AMD reaches Analyst Day targets early (see DC Bull / Super Bull)</t>
        </is>
      </c>
    </row>
    <row r="28" ht="13" customHeight="1">
      <c r="B28" s="24" t="inlineStr">
        <is>
          <t>▪  Nvidia moat</t>
        </is>
      </c>
      <c r="D28" s="25" t="inlineStr">
        <is>
          <t>CUDA ecosystem lock-in; ROCm still trails — share gains could stall</t>
        </is>
      </c>
    </row>
    <row r="29" ht="13" customHeight="1">
      <c r="B29" s="22" t="inlineStr">
        <is>
          <t>▪  Customer concentration</t>
        </is>
      </c>
      <c r="D29" s="23" t="inlineStr">
        <is>
          <t>Hyperscaler / OpenAI orders are lumpy; AI-credit stress (e.g. Oct 2026 neocloud selloff)</t>
        </is>
      </c>
    </row>
    <row r="30" ht="13" customHeight="1">
      <c r="B30" s="24" t="inlineStr">
        <is>
          <t>▪  Dilution</t>
        </is>
      </c>
      <c r="D30" s="25" t="inlineStr">
        <is>
          <t>OpenAI warrant (up to 160M shares) not in share count — would lower per-share value</t>
        </is>
      </c>
    </row>
    <row r="32">
      <c r="B32" s="26" t="inlineStr">
        <is>
          <t>All figures in USD millions unless noted. Price as of Oct 14, 2026; balance sheet as of Jun 27, 2026. Every number on this page is formula-linked to the model — change inputs on the Assumptions tab only.</t>
        </is>
      </c>
    </row>
    <row r="33" ht="4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</row>
    <row r="34">
      <c r="B34" s="27" t="inlineStr">
        <is>
          <t>Francisco Rodriguez  |  Financial Modeling Portfolio  |  github.com/Azyo1</t>
        </is>
      </c>
    </row>
  </sheetData>
  <mergeCells count="45">
    <mergeCell ref="B9:E9"/>
    <mergeCell ref="F11:G11"/>
    <mergeCell ref="B16:C16"/>
    <mergeCell ref="B7:C7"/>
    <mergeCell ref="F10:G10"/>
    <mergeCell ref="F16:G16"/>
    <mergeCell ref="B3:I3"/>
    <mergeCell ref="B22:C22"/>
    <mergeCell ref="B27:C27"/>
    <mergeCell ref="D22:H22"/>
    <mergeCell ref="F7:G7"/>
    <mergeCell ref="B12:C12"/>
    <mergeCell ref="B21:C21"/>
    <mergeCell ref="F12:G12"/>
    <mergeCell ref="D21:H21"/>
    <mergeCell ref="B26:H26"/>
    <mergeCell ref="B11:C11"/>
    <mergeCell ref="F15:G15"/>
    <mergeCell ref="B23:C23"/>
    <mergeCell ref="D27:H27"/>
    <mergeCell ref="B14:C14"/>
    <mergeCell ref="F9:H9"/>
    <mergeCell ref="B17:C17"/>
    <mergeCell ref="F17:G17"/>
    <mergeCell ref="B13:C13"/>
    <mergeCell ref="D7:E7"/>
    <mergeCell ref="B29:C29"/>
    <mergeCell ref="H7:I7"/>
    <mergeCell ref="B10:C10"/>
    <mergeCell ref="B28:C28"/>
    <mergeCell ref="D28:H28"/>
    <mergeCell ref="F13:G13"/>
    <mergeCell ref="B24:C24"/>
    <mergeCell ref="B30:C30"/>
    <mergeCell ref="D30:H30"/>
    <mergeCell ref="B15:C15"/>
    <mergeCell ref="D24:H24"/>
    <mergeCell ref="B20:I20"/>
    <mergeCell ref="D29:H29"/>
    <mergeCell ref="B5:I5"/>
    <mergeCell ref="D23:H23"/>
    <mergeCell ref="F14:G14"/>
    <mergeCell ref="B19:H19"/>
    <mergeCell ref="B32:I32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9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4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.5" customWidth="1" min="17" max="1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20" customHeight="1">
      <c r="B2" s="28" t="inlineStr">
        <is>
          <t>AMD — Model Assumptions  (ALL HARDCODED INPUTS = BLUE CELLS)  ·  $M unless noted</t>
        </is>
      </c>
    </row>
    <row r="3" ht="16" customHeight="1">
      <c r="B3" s="29" t="inlineStr">
        <is>
          <t>Metric</t>
        </is>
      </c>
      <c r="C3" s="30" t="inlineStr">
        <is>
          <t>FY2022A</t>
        </is>
      </c>
      <c r="D3" s="30" t="inlineStr">
        <is>
          <t>FY2023A</t>
        </is>
      </c>
      <c r="E3" s="30" t="inlineStr">
        <is>
          <t>FY2024A</t>
        </is>
      </c>
      <c r="F3" s="30" t="inlineStr">
        <is>
          <t>FY2025A</t>
        </is>
      </c>
      <c r="G3" s="31" t="inlineStr">
        <is>
          <t>FY2026E</t>
        </is>
      </c>
      <c r="H3" s="31" t="inlineStr">
        <is>
          <t>FY2027E</t>
        </is>
      </c>
      <c r="I3" s="31" t="inlineStr">
        <is>
          <t>FY2028E</t>
        </is>
      </c>
      <c r="J3" s="31" t="inlineStr">
        <is>
          <t>FY2029E</t>
        </is>
      </c>
      <c r="K3" s="31" t="inlineStr">
        <is>
          <t>FY2030E</t>
        </is>
      </c>
      <c r="L3" s="31" t="inlineStr">
        <is>
          <t>FY2031E</t>
        </is>
      </c>
      <c r="M3" s="31" t="inlineStr">
        <is>
          <t>FY2032E</t>
        </is>
      </c>
      <c r="N3" s="31" t="inlineStr">
        <is>
          <t>FY2033E</t>
        </is>
      </c>
      <c r="O3" s="31" t="inlineStr">
        <is>
          <t>FY2034E</t>
        </is>
      </c>
      <c r="P3" s="31" t="inlineStr">
        <is>
          <t>FY2035E</t>
        </is>
      </c>
    </row>
    <row r="4">
      <c r="B4" s="21" t="inlineStr">
        <is>
          <t>REVENUE GROWTH  (% YoY — historical = formula, forecast = input)</t>
        </is>
      </c>
    </row>
    <row r="5" ht="13" customHeight="1">
      <c r="B5" s="32" t="inlineStr">
        <is>
          <t>Data Center</t>
        </is>
      </c>
      <c r="C5" s="33" t="inlineStr">
        <is>
          <t>—</t>
        </is>
      </c>
      <c r="D5" s="34">
        <f>D11/C11-1</f>
        <v/>
      </c>
      <c r="E5" s="34">
        <f>E11/D11-1</f>
        <v/>
      </c>
      <c r="F5" s="34">
        <f>F11/E11-1</f>
        <v/>
      </c>
      <c r="G5" s="35" t="n">
        <v>0.75</v>
      </c>
      <c r="H5" s="35" t="n">
        <v>0.6</v>
      </c>
      <c r="I5" s="35" t="n">
        <v>0.45</v>
      </c>
      <c r="J5" s="35" t="n">
        <v>0.32</v>
      </c>
      <c r="K5" s="35" t="n">
        <v>0.25</v>
      </c>
      <c r="L5" s="35" t="n">
        <v>0.2</v>
      </c>
      <c r="M5" s="35" t="n">
        <v>0.16</v>
      </c>
      <c r="N5" s="35" t="n">
        <v>0.12</v>
      </c>
      <c r="O5" s="35" t="n">
        <v>0.09</v>
      </c>
      <c r="P5" s="35" t="n">
        <v>0.06</v>
      </c>
    </row>
    <row r="6" ht="13" customHeight="1">
      <c r="B6" s="36" t="inlineStr">
        <is>
          <t>Client</t>
        </is>
      </c>
      <c r="C6" s="37" t="inlineStr">
        <is>
          <t>—</t>
        </is>
      </c>
      <c r="D6" s="38">
        <f>D12/C12-1</f>
        <v/>
      </c>
      <c r="E6" s="38">
        <f>E12/D12-1</f>
        <v/>
      </c>
      <c r="F6" s="38">
        <f>F12/E12-1</f>
        <v/>
      </c>
      <c r="G6" s="35" t="n">
        <v>0.17</v>
      </c>
      <c r="H6" s="35" t="n">
        <v>0.1</v>
      </c>
      <c r="I6" s="35" t="n">
        <v>0.08</v>
      </c>
      <c r="J6" s="35" t="n">
        <v>0.07000000000000001</v>
      </c>
      <c r="K6" s="35" t="n">
        <v>0.06</v>
      </c>
      <c r="L6" s="35" t="n">
        <v>0.05</v>
      </c>
      <c r="M6" s="35" t="n">
        <v>0.05</v>
      </c>
      <c r="N6" s="35" t="n">
        <v>0.04</v>
      </c>
      <c r="O6" s="35" t="n">
        <v>0.04</v>
      </c>
      <c r="P6" s="35" t="n">
        <v>0.035</v>
      </c>
    </row>
    <row r="7" ht="13" customHeight="1">
      <c r="B7" s="32" t="inlineStr">
        <is>
          <t>Gaming</t>
        </is>
      </c>
      <c r="C7" s="33" t="inlineStr">
        <is>
          <t>—</t>
        </is>
      </c>
      <c r="D7" s="34">
        <f>D13/C13-1</f>
        <v/>
      </c>
      <c r="E7" s="34">
        <f>E13/D13-1</f>
        <v/>
      </c>
      <c r="F7" s="34">
        <f>F13/E13-1</f>
        <v/>
      </c>
      <c r="G7" s="35" t="n">
        <v>-0.19</v>
      </c>
      <c r="H7" s="35" t="n">
        <v>0</v>
      </c>
      <c r="I7" s="35" t="n">
        <v>0.05</v>
      </c>
      <c r="J7" s="35" t="n">
        <v>0</v>
      </c>
      <c r="K7" s="35" t="n">
        <v>0</v>
      </c>
      <c r="L7" s="35" t="n">
        <v>0.02</v>
      </c>
      <c r="M7" s="35" t="n">
        <v>0.02</v>
      </c>
      <c r="N7" s="35" t="n">
        <v>0.02</v>
      </c>
      <c r="O7" s="35" t="n">
        <v>0.02</v>
      </c>
      <c r="P7" s="35" t="n">
        <v>0.02</v>
      </c>
    </row>
    <row r="8" ht="13" customHeight="1">
      <c r="B8" s="36" t="inlineStr">
        <is>
          <t>Embedded</t>
        </is>
      </c>
      <c r="C8" s="37" t="inlineStr">
        <is>
          <t>—</t>
        </is>
      </c>
      <c r="D8" s="38">
        <f>D14/C14-1</f>
        <v/>
      </c>
      <c r="E8" s="38">
        <f>E14/D14-1</f>
        <v/>
      </c>
      <c r="F8" s="38">
        <f>F14/E14-1</f>
        <v/>
      </c>
      <c r="G8" s="35" t="n">
        <v>0.13</v>
      </c>
      <c r="H8" s="35" t="n">
        <v>0.12</v>
      </c>
      <c r="I8" s="35" t="n">
        <v>0.1</v>
      </c>
      <c r="J8" s="35" t="n">
        <v>0.09</v>
      </c>
      <c r="K8" s="35" t="n">
        <v>0.08</v>
      </c>
      <c r="L8" s="35" t="n">
        <v>0.07000000000000001</v>
      </c>
      <c r="M8" s="35" t="n">
        <v>0.06</v>
      </c>
      <c r="N8" s="35" t="n">
        <v>0.05</v>
      </c>
      <c r="O8" s="35" t="n">
        <v>0.04</v>
      </c>
      <c r="P8" s="35" t="n">
        <v>0.035</v>
      </c>
    </row>
    <row r="10">
      <c r="B10" s="21" t="inlineStr">
        <is>
          <t>REVENUE BY SEGMENT  ($M)</t>
        </is>
      </c>
    </row>
    <row r="11" ht="13" customHeight="1">
      <c r="B11" s="32" t="inlineStr">
        <is>
          <t>Data Center</t>
        </is>
      </c>
      <c r="C11" s="39" t="n">
        <v>6045</v>
      </c>
      <c r="D11" s="39" t="n">
        <v>6496</v>
      </c>
      <c r="E11" s="39" t="n">
        <v>12641</v>
      </c>
      <c r="F11" s="39" t="n">
        <v>16635</v>
      </c>
      <c r="G11" s="40">
        <f>F11*(1+G5)</f>
        <v/>
      </c>
      <c r="H11" s="40">
        <f>G11*(1+H5)</f>
        <v/>
      </c>
      <c r="I11" s="40">
        <f>H11*(1+I5)</f>
        <v/>
      </c>
      <c r="J11" s="40">
        <f>I11*(1+J5)</f>
        <v/>
      </c>
      <c r="K11" s="40">
        <f>J11*(1+K5)</f>
        <v/>
      </c>
      <c r="L11" s="40">
        <f>K11*(1+L5)</f>
        <v/>
      </c>
      <c r="M11" s="40">
        <f>L11*(1+M5)</f>
        <v/>
      </c>
      <c r="N11" s="40">
        <f>M11*(1+N5)</f>
        <v/>
      </c>
      <c r="O11" s="40">
        <f>N11*(1+O5)</f>
        <v/>
      </c>
      <c r="P11" s="40">
        <f>O11*(1+P5)</f>
        <v/>
      </c>
    </row>
    <row r="12" ht="13" customHeight="1">
      <c r="B12" s="36" t="inlineStr">
        <is>
          <t>Client</t>
        </is>
      </c>
      <c r="C12" s="39" t="n">
        <v>6236</v>
      </c>
      <c r="D12" s="39" t="n">
        <v>4680</v>
      </c>
      <c r="E12" s="39" t="n">
        <v>7003</v>
      </c>
      <c r="F12" s="39" t="n">
        <v>10640</v>
      </c>
      <c r="G12" s="41">
        <f>F12*(1+G6)</f>
        <v/>
      </c>
      <c r="H12" s="41">
        <f>G12*(1+H6)</f>
        <v/>
      </c>
      <c r="I12" s="41">
        <f>H12*(1+I6)</f>
        <v/>
      </c>
      <c r="J12" s="41">
        <f>I12*(1+J6)</f>
        <v/>
      </c>
      <c r="K12" s="41">
        <f>J12*(1+K6)</f>
        <v/>
      </c>
      <c r="L12" s="41">
        <f>K12*(1+L6)</f>
        <v/>
      </c>
      <c r="M12" s="41">
        <f>L12*(1+M6)</f>
        <v/>
      </c>
      <c r="N12" s="41">
        <f>M12*(1+N6)</f>
        <v/>
      </c>
      <c r="O12" s="41">
        <f>N12*(1+O6)</f>
        <v/>
      </c>
      <c r="P12" s="41">
        <f>O12*(1+P6)</f>
        <v/>
      </c>
    </row>
    <row r="13" ht="13" customHeight="1">
      <c r="B13" s="32" t="inlineStr">
        <is>
          <t>Gaming</t>
        </is>
      </c>
      <c r="C13" s="39" t="n">
        <v>7167</v>
      </c>
      <c r="D13" s="39" t="n">
        <v>6156</v>
      </c>
      <c r="E13" s="39" t="n">
        <v>2551</v>
      </c>
      <c r="F13" s="39" t="n">
        <v>3910</v>
      </c>
      <c r="G13" s="40">
        <f>F13*(1+G7)</f>
        <v/>
      </c>
      <c r="H13" s="40">
        <f>G13*(1+H7)</f>
        <v/>
      </c>
      <c r="I13" s="40">
        <f>H13*(1+I7)</f>
        <v/>
      </c>
      <c r="J13" s="40">
        <f>I13*(1+J7)</f>
        <v/>
      </c>
      <c r="K13" s="40">
        <f>J13*(1+K7)</f>
        <v/>
      </c>
      <c r="L13" s="40">
        <f>K13*(1+L7)</f>
        <v/>
      </c>
      <c r="M13" s="40">
        <f>L13*(1+M7)</f>
        <v/>
      </c>
      <c r="N13" s="40">
        <f>M13*(1+N7)</f>
        <v/>
      </c>
      <c r="O13" s="40">
        <f>N13*(1+O7)</f>
        <v/>
      </c>
      <c r="P13" s="40">
        <f>O13*(1+P7)</f>
        <v/>
      </c>
    </row>
    <row r="14" ht="13" customHeight="1">
      <c r="B14" s="36" t="inlineStr">
        <is>
          <t>Embedded</t>
        </is>
      </c>
      <c r="C14" s="39" t="n">
        <v>4153</v>
      </c>
      <c r="D14" s="39" t="n">
        <v>5348</v>
      </c>
      <c r="E14" s="39" t="n">
        <v>3590</v>
      </c>
      <c r="F14" s="39" t="n">
        <v>3454</v>
      </c>
      <c r="G14" s="41">
        <f>F14*(1+G8)</f>
        <v/>
      </c>
      <c r="H14" s="41">
        <f>G14*(1+H8)</f>
        <v/>
      </c>
      <c r="I14" s="41">
        <f>H14*(1+I8)</f>
        <v/>
      </c>
      <c r="J14" s="41">
        <f>I14*(1+J8)</f>
        <v/>
      </c>
      <c r="K14" s="41">
        <f>J14*(1+K8)</f>
        <v/>
      </c>
      <c r="L14" s="41">
        <f>K14*(1+L8)</f>
        <v/>
      </c>
      <c r="M14" s="41">
        <f>L14*(1+M8)</f>
        <v/>
      </c>
      <c r="N14" s="41">
        <f>M14*(1+N8)</f>
        <v/>
      </c>
      <c r="O14" s="41">
        <f>N14*(1+O8)</f>
        <v/>
      </c>
      <c r="P14" s="41">
        <f>O14*(1+P8)</f>
        <v/>
      </c>
    </row>
    <row r="15">
      <c r="B15" s="42" t="inlineStr">
        <is>
          <t>Total Revenue</t>
        </is>
      </c>
      <c r="C15" s="43">
        <f>C11+C12+C13+C14</f>
        <v/>
      </c>
      <c r="D15" s="43">
        <f>D11+D12+D13+D14</f>
        <v/>
      </c>
      <c r="E15" s="43">
        <f>E11+E12+E13+E14</f>
        <v/>
      </c>
      <c r="F15" s="43">
        <f>F11+F12+F13+F14</f>
        <v/>
      </c>
      <c r="G15" s="43">
        <f>G11+G12+G13+G14</f>
        <v/>
      </c>
      <c r="H15" s="43">
        <f>H11+H12+H13+H14</f>
        <v/>
      </c>
      <c r="I15" s="43">
        <f>I11+I12+I13+I14</f>
        <v/>
      </c>
      <c r="J15" s="43">
        <f>J11+J12+J13+J14</f>
        <v/>
      </c>
      <c r="K15" s="43">
        <f>K11+K12+K13+K14</f>
        <v/>
      </c>
      <c r="L15" s="43">
        <f>L11+L12+L13+L14</f>
        <v/>
      </c>
      <c r="M15" s="43">
        <f>M11+M12+M13+M14</f>
        <v/>
      </c>
      <c r="N15" s="43">
        <f>N11+N12+N13+N14</f>
        <v/>
      </c>
      <c r="O15" s="43">
        <f>O11+O12+O13+O14</f>
        <v/>
      </c>
      <c r="P15" s="43">
        <f>P11+P12+P13+P14</f>
        <v/>
      </c>
    </row>
    <row r="16">
      <c r="B16" s="44" t="inlineStr">
        <is>
          <t>YoY Growth %</t>
        </is>
      </c>
      <c r="D16" s="38">
        <f>D15/C15-1</f>
        <v/>
      </c>
      <c r="E16" s="38">
        <f>E15/D15-1</f>
        <v/>
      </c>
      <c r="F16" s="38">
        <f>F15/E15-1</f>
        <v/>
      </c>
      <c r="G16" s="38">
        <f>G15/F15-1</f>
        <v/>
      </c>
      <c r="H16" s="38">
        <f>H15/G15-1</f>
        <v/>
      </c>
      <c r="I16" s="38">
        <f>I15/H15-1</f>
        <v/>
      </c>
      <c r="J16" s="38">
        <f>J15/I15-1</f>
        <v/>
      </c>
      <c r="K16" s="38">
        <f>K15/J15-1</f>
        <v/>
      </c>
      <c r="L16" s="38">
        <f>L15/K15-1</f>
        <v/>
      </c>
      <c r="M16" s="38">
        <f>M15/L15-1</f>
        <v/>
      </c>
      <c r="N16" s="38">
        <f>N15/M15-1</f>
        <v/>
      </c>
      <c r="O16" s="38">
        <f>O15/N15-1</f>
        <v/>
      </c>
      <c r="P16" s="38">
        <f>P15/O15-1</f>
        <v/>
      </c>
    </row>
    <row r="17">
      <c r="B17" s="21" t="inlineStr">
        <is>
          <t>MARGIN, CASH FLOW &amp; TAX  (GAAP basis — SBC treated as a real expense)</t>
        </is>
      </c>
    </row>
    <row r="18" ht="13" customHeight="1">
      <c r="B18" s="32" t="inlineStr">
        <is>
          <t>Gross Margin %</t>
        </is>
      </c>
      <c r="C18" s="35" t="n">
        <v>0.445</v>
      </c>
      <c r="D18" s="35" t="n">
        <v>0.461</v>
      </c>
      <c r="E18" s="35" t="n">
        <v>0.49</v>
      </c>
      <c r="F18" s="35" t="n">
        <v>0.5</v>
      </c>
      <c r="G18" s="35" t="n">
        <v>0.54</v>
      </c>
      <c r="H18" s="35" t="n">
        <v>0.55</v>
      </c>
      <c r="I18" s="35" t="n">
        <v>0.5600000000000001</v>
      </c>
      <c r="J18" s="35" t="n">
        <v>0.5649999999999999</v>
      </c>
      <c r="K18" s="35" t="n">
        <v>0.57</v>
      </c>
      <c r="L18" s="35" t="n">
        <v>0.57</v>
      </c>
      <c r="M18" s="35" t="n">
        <v>0.57</v>
      </c>
      <c r="N18" s="35" t="n">
        <v>0.57</v>
      </c>
      <c r="O18" s="35" t="n">
        <v>0.57</v>
      </c>
      <c r="P18" s="35" t="n">
        <v>0.57</v>
      </c>
    </row>
    <row r="19" ht="13" customHeight="1">
      <c r="B19" s="36" t="inlineStr">
        <is>
          <t>EBITDA Margin %</t>
        </is>
      </c>
      <c r="C19" s="35" t="n">
        <v>0.162</v>
      </c>
      <c r="D19" s="35" t="n">
        <v>0.191</v>
      </c>
      <c r="E19" s="35" t="n">
        <v>0.216</v>
      </c>
      <c r="F19" s="35" t="n">
        <v>0.203</v>
      </c>
      <c r="G19" s="35" t="n">
        <v>0.25</v>
      </c>
      <c r="H19" s="35" t="n">
        <v>0.29</v>
      </c>
      <c r="I19" s="35" t="n">
        <v>0.32</v>
      </c>
      <c r="J19" s="35" t="n">
        <v>0.34</v>
      </c>
      <c r="K19" s="35" t="n">
        <v>0.35</v>
      </c>
      <c r="L19" s="35" t="n">
        <v>0.36</v>
      </c>
      <c r="M19" s="35" t="n">
        <v>0.36</v>
      </c>
      <c r="N19" s="35" t="n">
        <v>0.36</v>
      </c>
      <c r="O19" s="35" t="n">
        <v>0.36</v>
      </c>
      <c r="P19" s="35" t="n">
        <v>0.36</v>
      </c>
    </row>
    <row r="20" ht="13" customHeight="1">
      <c r="B20" s="32" t="inlineStr">
        <is>
          <t>D&amp;A incl. acquisition amortization ($M)</t>
        </is>
      </c>
      <c r="C20" s="39" t="n">
        <v>3936</v>
      </c>
      <c r="D20" s="39" t="n">
        <v>3936</v>
      </c>
      <c r="E20" s="39" t="n">
        <v>3758</v>
      </c>
      <c r="F20" s="39" t="n">
        <v>3004</v>
      </c>
      <c r="G20" s="39" t="n">
        <v>3050</v>
      </c>
      <c r="H20" s="39" t="n">
        <v>3000</v>
      </c>
      <c r="I20" s="39" t="n">
        <v>3100</v>
      </c>
      <c r="J20" s="39" t="n">
        <v>3300</v>
      </c>
      <c r="K20" s="39" t="n">
        <v>3500</v>
      </c>
      <c r="L20" s="39" t="n">
        <v>3800</v>
      </c>
      <c r="M20" s="39" t="n">
        <v>4100</v>
      </c>
      <c r="N20" s="39" t="n">
        <v>4400</v>
      </c>
      <c r="O20" s="39" t="n">
        <v>4700</v>
      </c>
      <c r="P20" s="39" t="n">
        <v>5000</v>
      </c>
    </row>
    <row r="21" ht="13" customHeight="1">
      <c r="B21" s="36" t="inlineStr">
        <is>
          <t>Cash Tax Rate %</t>
        </is>
      </c>
      <c r="C21" s="35" t="n">
        <v>0.09</v>
      </c>
      <c r="D21" s="35" t="n">
        <v>0.06</v>
      </c>
      <c r="E21" s="35" t="n">
        <v>0.1</v>
      </c>
      <c r="F21" s="35" t="n">
        <v>0.13</v>
      </c>
      <c r="G21" s="35" t="n">
        <v>0.13</v>
      </c>
      <c r="H21" s="35" t="n">
        <v>0.13</v>
      </c>
      <c r="I21" s="35" t="n">
        <v>0.13</v>
      </c>
      <c r="J21" s="35" t="n">
        <v>0.13</v>
      </c>
      <c r="K21" s="35" t="n">
        <v>0.13</v>
      </c>
      <c r="L21" s="35" t="n">
        <v>0.15</v>
      </c>
      <c r="M21" s="35" t="n">
        <v>0.15</v>
      </c>
      <c r="N21" s="35" t="n">
        <v>0.15</v>
      </c>
      <c r="O21" s="35" t="n">
        <v>0.15</v>
      </c>
      <c r="P21" s="35" t="n">
        <v>0.15</v>
      </c>
    </row>
    <row r="22" ht="13" customHeight="1">
      <c r="B22" s="32" t="inlineStr">
        <is>
          <t>Capex ($M)</t>
        </is>
      </c>
      <c r="C22" s="39" t="n">
        <v>450</v>
      </c>
      <c r="D22" s="39" t="n">
        <v>546</v>
      </c>
      <c r="E22" s="39" t="n">
        <v>636</v>
      </c>
      <c r="F22" s="39" t="n">
        <v>974</v>
      </c>
      <c r="G22" s="39" t="n">
        <v>2800</v>
      </c>
      <c r="H22" s="39" t="n">
        <v>3500</v>
      </c>
      <c r="I22" s="39" t="n">
        <v>3900</v>
      </c>
      <c r="J22" s="39" t="n">
        <v>4200</v>
      </c>
      <c r="K22" s="39" t="n">
        <v>4500</v>
      </c>
      <c r="L22" s="39" t="n">
        <v>4800</v>
      </c>
      <c r="M22" s="39" t="n">
        <v>5100</v>
      </c>
      <c r="N22" s="39" t="n">
        <v>5300</v>
      </c>
      <c r="O22" s="39" t="n">
        <v>5500</v>
      </c>
      <c r="P22" s="39" t="n">
        <v>5600</v>
      </c>
    </row>
    <row r="23" ht="13" customHeight="1">
      <c r="B23" s="36" t="inlineStr">
        <is>
          <t>Δ Working Capital — % of Δ Revenue</t>
        </is>
      </c>
      <c r="C23" s="37" t="inlineStr">
        <is>
          <t>—</t>
        </is>
      </c>
      <c r="D23" s="37" t="inlineStr">
        <is>
          <t>—</t>
        </is>
      </c>
      <c r="E23" s="37" t="inlineStr">
        <is>
          <t>—</t>
        </is>
      </c>
      <c r="F23" s="37" t="inlineStr">
        <is>
          <t>—</t>
        </is>
      </c>
      <c r="G23" s="35" t="n">
        <v>0.1</v>
      </c>
      <c r="H23" s="35" t="n">
        <v>0.1</v>
      </c>
      <c r="I23" s="35" t="n">
        <v>0.1</v>
      </c>
      <c r="J23" s="35" t="n">
        <v>0.1</v>
      </c>
      <c r="K23" s="35" t="n">
        <v>0.1</v>
      </c>
      <c r="L23" s="35" t="n">
        <v>0.1</v>
      </c>
      <c r="M23" s="35" t="n">
        <v>0.1</v>
      </c>
      <c r="N23" s="35" t="n">
        <v>0.1</v>
      </c>
      <c r="O23" s="35" t="n">
        <v>0.1</v>
      </c>
      <c r="P23" s="35" t="n">
        <v>0.1</v>
      </c>
    </row>
    <row r="25">
      <c r="B25" s="21" t="inlineStr">
        <is>
          <t>VALUATION DATE &amp; MARKET DATA</t>
        </is>
      </c>
    </row>
    <row r="26" ht="13" customHeight="1">
      <c r="B26" s="36" t="inlineStr">
        <is>
          <t>Valuation Date</t>
        </is>
      </c>
      <c r="C26" s="45" t="n">
        <v>46309</v>
      </c>
      <c r="D26" s="46" t="inlineStr">
        <is>
          <t>Oct 14, 2026 close</t>
        </is>
      </c>
    </row>
    <row r="27" ht="13" customHeight="1">
      <c r="B27" s="36" t="inlineStr">
        <is>
          <t>FY2026 Fiscal Year End</t>
        </is>
      </c>
      <c r="C27" s="45" t="n">
        <v>46382</v>
      </c>
      <c r="D27" s="46" t="inlineStr">
        <is>
          <t>Last Saturday of December (Dec 26, 2026)</t>
        </is>
      </c>
    </row>
    <row r="28" ht="13" customHeight="1">
      <c r="B28" s="36" t="inlineStr">
        <is>
          <t>Stub — Fraction of FY2026E Remaining</t>
        </is>
      </c>
      <c r="C28" s="47">
        <f>MAX(0,MIN(1,(C27-C26)/365))</f>
        <v/>
      </c>
      <c r="D28" s="46" t="inlineStr">
        <is>
          <t>Formula — only the unearned part of FY2026E FCF is valued</t>
        </is>
      </c>
    </row>
    <row r="29" ht="13" customHeight="1">
      <c r="B29" s="36" t="inlineStr">
        <is>
          <t>Current Share Price ($)</t>
        </is>
      </c>
      <c r="C29" s="48" t="n">
        <v>570.8200000000001</v>
      </c>
      <c r="D29" s="46" t="inlineStr">
        <is>
          <t>NASDAQ: AMD, Oct 14, 2026 close</t>
        </is>
      </c>
    </row>
    <row r="30" ht="13" customHeight="1">
      <c r="B30" s="36" t="inlineStr">
        <is>
          <t>Cash &amp; Short-Term Investments</t>
        </is>
      </c>
      <c r="C30" s="39" t="n">
        <v>13100</v>
      </c>
      <c r="D30" s="46" t="inlineStr">
        <is>
          <t>Jun 27, 2026 (Q2 FY2026 release)</t>
        </is>
      </c>
    </row>
    <row r="31" ht="13" customHeight="1">
      <c r="B31" s="36" t="inlineStr">
        <is>
          <t>Total Debt</t>
        </is>
      </c>
      <c r="C31" s="39" t="n">
        <v>3200</v>
      </c>
      <c r="D31" s="46" t="inlineStr">
        <is>
          <t>Jun 27, 2026 (Q2 FY2026 release)</t>
        </is>
      </c>
    </row>
    <row r="32" ht="13" customHeight="1">
      <c r="B32" s="36" t="inlineStr">
        <is>
          <t>Diluted Shares Outstanding (M)</t>
        </is>
      </c>
      <c r="C32" s="39" t="n">
        <v>1667</v>
      </c>
      <c r="D32" s="46" t="inlineStr">
        <is>
          <t>Q2 FY2026 diluted (net income $2.3B / EPS $1.38); OpenAI warrant not included</t>
        </is>
      </c>
    </row>
    <row r="33">
      <c r="B33" s="21" t="inlineStr">
        <is>
          <t>WACC</t>
        </is>
      </c>
    </row>
    <row r="34" ht="13" customHeight="1">
      <c r="B34" s="36" t="inlineStr">
        <is>
          <t>Risk-Free Rate (10-yr UST)</t>
        </is>
      </c>
      <c r="C34" s="49" t="n">
        <v>0.051</v>
      </c>
      <c r="D34" s="46" t="inlineStr">
        <is>
          <t>~5.1%, mid-Oct 2026</t>
        </is>
      </c>
    </row>
    <row r="35" ht="13" customHeight="1">
      <c r="B35" s="36" t="inlineStr">
        <is>
          <t>Equity Risk Premium</t>
        </is>
      </c>
      <c r="C35" s="49" t="n">
        <v>0.043</v>
      </c>
      <c r="D35" s="46" t="inlineStr">
        <is>
          <t>Implied US ERP</t>
        </is>
      </c>
    </row>
    <row r="36" ht="13" customHeight="1">
      <c r="B36" s="36" t="inlineStr">
        <is>
          <t>Levered Beta</t>
        </is>
      </c>
      <c r="C36" s="50" t="n">
        <v>1.4</v>
      </c>
      <c r="D36" s="46" t="inlineStr">
        <is>
          <t>Adjusted beta (raw 5-yr regression is higher)</t>
        </is>
      </c>
    </row>
    <row r="37" ht="13" customHeight="1">
      <c r="B37" s="36" t="inlineStr">
        <is>
          <t>Pre-Tax Cost of Debt</t>
        </is>
      </c>
      <c r="C37" s="49" t="n">
        <v>0.045</v>
      </c>
      <c r="D37" s="46" t="inlineStr">
        <is>
          <t>Investment-grade senior notes</t>
        </is>
      </c>
    </row>
    <row r="38" ht="13" customHeight="1">
      <c r="B38" s="36" t="inlineStr">
        <is>
          <t>Tax Rate for Debt Shield</t>
        </is>
      </c>
      <c r="C38" s="49" t="n">
        <v>0.13</v>
      </c>
    </row>
    <row r="39" ht="13" customHeight="1">
      <c r="B39" s="36" t="inlineStr">
        <is>
          <t>Debt / Total Capital</t>
        </is>
      </c>
      <c r="C39" s="51">
        <f>C31/(C31+C29*C32)</f>
        <v/>
      </c>
      <c r="D39" s="46" t="inlineStr">
        <is>
          <t>Formula — market-value weights</t>
        </is>
      </c>
    </row>
    <row r="40">
      <c r="B40" s="21" t="inlineStr">
        <is>
          <t>TERMINAL VALUE, DISCOUNTING &amp; RATING</t>
        </is>
      </c>
    </row>
    <row r="41" ht="13" customHeight="1">
      <c r="B41" s="36" t="inlineStr">
        <is>
          <t>Terminal Growth Rate (g)</t>
        </is>
      </c>
      <c r="C41" s="49" t="n">
        <v>0.035</v>
      </c>
    </row>
    <row r="42" ht="13" customHeight="1">
      <c r="B42" s="36" t="inlineStr">
        <is>
          <t>Overweight if PT upside ≥</t>
        </is>
      </c>
      <c r="C42" s="35" t="n">
        <v>0.1</v>
      </c>
    </row>
    <row r="43" ht="13" customHeight="1">
      <c r="B43" s="36" t="inlineStr">
        <is>
          <t>Underweight if PT upside ≤</t>
        </is>
      </c>
      <c r="C43" s="35" t="n">
        <v>-0.1</v>
      </c>
      <c r="D43" s="46" t="inlineStr">
        <is>
          <t>Otherwise Equal-Weight</t>
        </is>
      </c>
    </row>
    <row r="44" ht="13" customHeight="1">
      <c r="B44" s="36" t="inlineStr">
        <is>
          <t>Round Price Target to nearest ($)</t>
        </is>
      </c>
      <c r="C44" s="52" t="n">
        <v>5</v>
      </c>
    </row>
    <row r="45" ht="13" customHeight="1">
      <c r="B45" s="36" t="inlineStr">
        <is>
          <t>Sensitivity Step — WACC</t>
        </is>
      </c>
      <c r="C45" s="49" t="n">
        <v>0.005</v>
      </c>
    </row>
    <row r="46" ht="13" customHeight="1">
      <c r="B46" s="36" t="inlineStr">
        <is>
          <t>Sensitivity Step — Terminal Growth</t>
        </is>
      </c>
      <c r="C46" s="49" t="n">
        <v>0.005</v>
      </c>
    </row>
    <row r="47">
      <c r="B47" s="21" t="inlineStr">
        <is>
          <t>SCENARIO PARAMETERS  (adjustments apply FY2027E onward; blank DC override = base path)</t>
        </is>
      </c>
    </row>
    <row r="48" ht="14" customHeight="1">
      <c r="B48" s="29" t="inlineStr">
        <is>
          <t>Parameter</t>
        </is>
      </c>
      <c r="C48" s="53" t="inlineStr">
        <is>
          <t>Bear</t>
        </is>
      </c>
      <c r="D48" s="53" t="inlineStr">
        <is>
          <t>Base</t>
        </is>
      </c>
      <c r="E48" s="53" t="inlineStr">
        <is>
          <t>Bull</t>
        </is>
      </c>
      <c r="F48" s="53" t="inlineStr">
        <is>
          <t>DC Downside</t>
        </is>
      </c>
      <c r="G48" s="53" t="inlineStr">
        <is>
          <t>DC Base</t>
        </is>
      </c>
      <c r="H48" s="53" t="inlineStr">
        <is>
          <t>DC Bull</t>
        </is>
      </c>
      <c r="I48" s="53" t="inlineStr">
        <is>
          <t>DC Super Bull</t>
        </is>
      </c>
    </row>
    <row r="49" ht="13" customHeight="1">
      <c r="B49" s="36" t="inlineStr">
        <is>
          <t>Revenue growth adj. — all segments (pp)</t>
        </is>
      </c>
      <c r="C49" s="35" t="n">
        <v>-0.1</v>
      </c>
      <c r="D49" s="35" t="n">
        <v>0</v>
      </c>
      <c r="E49" s="35" t="n">
        <v>0.06</v>
      </c>
      <c r="F49" s="35" t="n">
        <v>0</v>
      </c>
      <c r="G49" s="35" t="n">
        <v>0</v>
      </c>
      <c r="H49" s="35" t="n">
        <v>0</v>
      </c>
      <c r="I49" s="35" t="n">
        <v>0</v>
      </c>
    </row>
    <row r="50" ht="13" customHeight="1">
      <c r="B50" s="36" t="inlineStr">
        <is>
          <t>EBITDA margin adj. (pp)</t>
        </is>
      </c>
      <c r="C50" s="35" t="n">
        <v>-0.05</v>
      </c>
      <c r="D50" s="35" t="n">
        <v>0</v>
      </c>
      <c r="E50" s="35" t="n">
        <v>0.03</v>
      </c>
      <c r="F50" s="35" t="n">
        <v>0</v>
      </c>
      <c r="G50" s="35" t="n">
        <v>0</v>
      </c>
      <c r="H50" s="35" t="n">
        <v>0</v>
      </c>
      <c r="I50" s="35" t="n">
        <v>0</v>
      </c>
    </row>
    <row r="51" ht="13" customHeight="1">
      <c r="B51" s="36" t="inlineStr">
        <is>
          <t>WACC adj. vs. base (pp)</t>
        </is>
      </c>
      <c r="C51" s="49" t="n">
        <v>0.01</v>
      </c>
      <c r="D51" s="49" t="n">
        <v>0</v>
      </c>
      <c r="E51" s="49" t="n">
        <v>-0.005</v>
      </c>
      <c r="F51" s="49" t="n">
        <v>0</v>
      </c>
      <c r="G51" s="49" t="n">
        <v>0</v>
      </c>
      <c r="H51" s="49" t="n">
        <v>0</v>
      </c>
      <c r="I51" s="49" t="n">
        <v>0</v>
      </c>
    </row>
    <row r="52" ht="13" customHeight="1">
      <c r="B52" s="36" t="inlineStr">
        <is>
          <t>Terminal growth rate</t>
        </is>
      </c>
      <c r="C52" s="49" t="n">
        <v>0.03</v>
      </c>
      <c r="D52" s="51">
        <f>$C$41</f>
        <v/>
      </c>
      <c r="E52" s="49" t="n">
        <v>0.04</v>
      </c>
      <c r="F52" s="51">
        <f>$C$41</f>
        <v/>
      </c>
      <c r="G52" s="51">
        <f>$C$41</f>
        <v/>
      </c>
      <c r="H52" s="51">
        <f>$C$41</f>
        <v/>
      </c>
      <c r="I52" s="51">
        <f>$C$41</f>
        <v/>
      </c>
    </row>
    <row r="53" ht="13" customHeight="1">
      <c r="B53" s="36" t="inlineStr">
        <is>
          <t>Data Center growth override, FY2027E–FY2030E</t>
        </is>
      </c>
      <c r="C53" s="54" t="n"/>
      <c r="D53" s="54" t="n"/>
      <c r="E53" s="54" t="n"/>
      <c r="F53" s="35" t="n">
        <v>0.3</v>
      </c>
      <c r="G53" s="54" t="n"/>
      <c r="H53" s="35" t="n">
        <v>0.55</v>
      </c>
      <c r="I53" s="35" t="n">
        <v>0.7</v>
      </c>
    </row>
    <row r="54" ht="13" customHeight="1">
      <c r="B54" s="36" t="inlineStr">
        <is>
          <t>Probability weight (DC scenarios → Price Target)</t>
        </is>
      </c>
      <c r="F54" s="35" t="n">
        <v>0.2</v>
      </c>
      <c r="G54" s="35" t="n">
        <v>0.4</v>
      </c>
      <c r="H54" s="35" t="n">
        <v>0.3</v>
      </c>
      <c r="I54" s="35" t="n">
        <v>0.1</v>
      </c>
    </row>
    <row r="55">
      <c r="B55" s="44" t="inlineStr">
        <is>
          <t>Probability check (must = 100%)</t>
        </is>
      </c>
      <c r="F55" s="38">
        <f>SUM(F54:I54)</f>
        <v/>
      </c>
    </row>
    <row r="57" ht="30" customHeight="1">
      <c r="B57" s="55" t="inlineStr">
        <is>
          <t>Sources: AMD 10-K FY2022–FY2025; Q4'25 release (Feb 3 2026); Q1'26 and Q2'26 releases; Q3'26 outlook (~$13.0B ±$0.3B); Nov 11 2025 Financial Analyst Day LT model (&gt;35% revenue CAGR, DC &gt;60% CAGR, &gt;35% non-GAAP op. margin). Forecast growth and margins are analyst estimates.</t>
        </is>
      </c>
    </row>
    <row r="58" ht="4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</row>
    <row r="59">
      <c r="B59" s="27" t="inlineStr">
        <is>
          <t>Francisco Rodriguez  |  Financial Modeling Portfolio  |  github.com/Azyo1</t>
        </is>
      </c>
    </row>
  </sheetData>
  <mergeCells count="9">
    <mergeCell ref="B33:P33"/>
    <mergeCell ref="B25:P25"/>
    <mergeCell ref="B47:P47"/>
    <mergeCell ref="B2:P2"/>
    <mergeCell ref="B40:P40"/>
    <mergeCell ref="B10:P10"/>
    <mergeCell ref="B57:P57"/>
    <mergeCell ref="B4:P4"/>
    <mergeCell ref="B17:P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4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.5" customWidth="1" min="17" max="1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20" customHeight="1">
      <c r="B2" s="28" t="inlineStr">
        <is>
          <t>AMD — Income Statement &amp; Unlevered Free Cash Flow Build ($M)</t>
        </is>
      </c>
    </row>
    <row r="3">
      <c r="B3" s="29" t="inlineStr"/>
      <c r="C3" s="30" t="inlineStr">
        <is>
          <t>FY2022A</t>
        </is>
      </c>
      <c r="D3" s="30" t="inlineStr">
        <is>
          <t>FY2023A</t>
        </is>
      </c>
      <c r="E3" s="30" t="inlineStr">
        <is>
          <t>FY2024A</t>
        </is>
      </c>
      <c r="F3" s="30" t="inlineStr">
        <is>
          <t>FY2025A</t>
        </is>
      </c>
      <c r="G3" s="31" t="inlineStr">
        <is>
          <t>FY2026E</t>
        </is>
      </c>
      <c r="H3" s="31" t="inlineStr">
        <is>
          <t>FY2027E</t>
        </is>
      </c>
      <c r="I3" s="31" t="inlineStr">
        <is>
          <t>FY2028E</t>
        </is>
      </c>
      <c r="J3" s="31" t="inlineStr">
        <is>
          <t>FY2029E</t>
        </is>
      </c>
      <c r="K3" s="31" t="inlineStr">
        <is>
          <t>FY2030E</t>
        </is>
      </c>
      <c r="L3" s="31" t="inlineStr">
        <is>
          <t>FY2031E</t>
        </is>
      </c>
      <c r="M3" s="31" t="inlineStr">
        <is>
          <t>FY2032E</t>
        </is>
      </c>
      <c r="N3" s="31" t="inlineStr">
        <is>
          <t>FY2033E</t>
        </is>
      </c>
      <c r="O3" s="31" t="inlineStr">
        <is>
          <t>FY2034E</t>
        </is>
      </c>
      <c r="P3" s="31" t="inlineStr">
        <is>
          <t>FY2035E</t>
        </is>
      </c>
    </row>
    <row r="4">
      <c r="B4" s="21" t="inlineStr">
        <is>
          <t>INCOME STATEMENT</t>
        </is>
      </c>
    </row>
    <row r="5" ht="13" customHeight="1">
      <c r="B5" s="56" t="inlineStr">
        <is>
          <t>Revenue</t>
        </is>
      </c>
      <c r="C5" s="57">
        <f>Assumptions!C15</f>
        <v/>
      </c>
      <c r="D5" s="57">
        <f>Assumptions!D15</f>
        <v/>
      </c>
      <c r="E5" s="57">
        <f>Assumptions!E15</f>
        <v/>
      </c>
      <c r="F5" s="57">
        <f>Assumptions!F15</f>
        <v/>
      </c>
      <c r="G5" s="57">
        <f>Assumptions!G15</f>
        <v/>
      </c>
      <c r="H5" s="57">
        <f>Assumptions!H15</f>
        <v/>
      </c>
      <c r="I5" s="57">
        <f>Assumptions!I15</f>
        <v/>
      </c>
      <c r="J5" s="57">
        <f>Assumptions!J15</f>
        <v/>
      </c>
      <c r="K5" s="57">
        <f>Assumptions!K15</f>
        <v/>
      </c>
      <c r="L5" s="57">
        <f>Assumptions!L15</f>
        <v/>
      </c>
      <c r="M5" s="57">
        <f>Assumptions!M15</f>
        <v/>
      </c>
      <c r="N5" s="57">
        <f>Assumptions!N15</f>
        <v/>
      </c>
      <c r="O5" s="57">
        <f>Assumptions!O15</f>
        <v/>
      </c>
      <c r="P5" s="57">
        <f>Assumptions!P15</f>
        <v/>
      </c>
    </row>
    <row r="6" ht="13" customHeight="1">
      <c r="B6" s="58" t="inlineStr">
        <is>
          <t xml:space="preserve">  YoY Growth</t>
        </is>
      </c>
      <c r="D6" s="38">
        <f>D5/C5-1</f>
        <v/>
      </c>
      <c r="E6" s="38">
        <f>E5/D5-1</f>
        <v/>
      </c>
      <c r="F6" s="38">
        <f>F5/E5-1</f>
        <v/>
      </c>
      <c r="G6" s="38">
        <f>G5/F5-1</f>
        <v/>
      </c>
      <c r="H6" s="38">
        <f>H5/G5-1</f>
        <v/>
      </c>
      <c r="I6" s="38">
        <f>I5/H5-1</f>
        <v/>
      </c>
      <c r="J6" s="38">
        <f>J5/I5-1</f>
        <v/>
      </c>
      <c r="K6" s="38">
        <f>K5/J5-1</f>
        <v/>
      </c>
      <c r="L6" s="38">
        <f>L5/K5-1</f>
        <v/>
      </c>
      <c r="M6" s="38">
        <f>M5/L5-1</f>
        <v/>
      </c>
      <c r="N6" s="38">
        <f>N5/M5-1</f>
        <v/>
      </c>
      <c r="O6" s="38">
        <f>O5/N5-1</f>
        <v/>
      </c>
      <c r="P6" s="38">
        <f>P5/O5-1</f>
        <v/>
      </c>
    </row>
    <row r="7" ht="13" customHeight="1">
      <c r="B7" s="56" t="inlineStr">
        <is>
          <t>Gross Profit</t>
        </is>
      </c>
      <c r="C7" s="59">
        <f>C5*Assumptions!C18</f>
        <v/>
      </c>
      <c r="D7" s="59">
        <f>D5*Assumptions!D18</f>
        <v/>
      </c>
      <c r="E7" s="59">
        <f>E5*Assumptions!E18</f>
        <v/>
      </c>
      <c r="F7" s="59">
        <f>F5*Assumptions!F18</f>
        <v/>
      </c>
      <c r="G7" s="59">
        <f>G5*Assumptions!G18</f>
        <v/>
      </c>
      <c r="H7" s="59">
        <f>H5*Assumptions!H18</f>
        <v/>
      </c>
      <c r="I7" s="59">
        <f>I5*Assumptions!I18</f>
        <v/>
      </c>
      <c r="J7" s="59">
        <f>J5*Assumptions!J18</f>
        <v/>
      </c>
      <c r="K7" s="59">
        <f>K5*Assumptions!K18</f>
        <v/>
      </c>
      <c r="L7" s="59">
        <f>L5*Assumptions!L18</f>
        <v/>
      </c>
      <c r="M7" s="59">
        <f>M5*Assumptions!M18</f>
        <v/>
      </c>
      <c r="N7" s="59">
        <f>N5*Assumptions!N18</f>
        <v/>
      </c>
      <c r="O7" s="59">
        <f>O5*Assumptions!O18</f>
        <v/>
      </c>
      <c r="P7" s="59">
        <f>P5*Assumptions!P18</f>
        <v/>
      </c>
    </row>
    <row r="8" ht="13" customHeight="1">
      <c r="B8" s="58" t="inlineStr">
        <is>
          <t xml:space="preserve">  Gross Margin %</t>
        </is>
      </c>
      <c r="C8" s="38">
        <f>C7/C5</f>
        <v/>
      </c>
      <c r="D8" s="38">
        <f>D7/D5</f>
        <v/>
      </c>
      <c r="E8" s="38">
        <f>E7/E5</f>
        <v/>
      </c>
      <c r="F8" s="38">
        <f>F7/F5</f>
        <v/>
      </c>
      <c r="G8" s="38">
        <f>G7/G5</f>
        <v/>
      </c>
      <c r="H8" s="38">
        <f>H7/H5</f>
        <v/>
      </c>
      <c r="I8" s="38">
        <f>I7/I5</f>
        <v/>
      </c>
      <c r="J8" s="38">
        <f>J7/J5</f>
        <v/>
      </c>
      <c r="K8" s="38">
        <f>K7/K5</f>
        <v/>
      </c>
      <c r="L8" s="38">
        <f>L7/L5</f>
        <v/>
      </c>
      <c r="M8" s="38">
        <f>M7/M5</f>
        <v/>
      </c>
      <c r="N8" s="38">
        <f>N7/N5</f>
        <v/>
      </c>
      <c r="O8" s="38">
        <f>O7/O5</f>
        <v/>
      </c>
      <c r="P8" s="38">
        <f>P7/P5</f>
        <v/>
      </c>
    </row>
    <row r="9" ht="13" customHeight="1">
      <c r="B9" s="56" t="inlineStr">
        <is>
          <t>EBITDA</t>
        </is>
      </c>
      <c r="C9" s="59">
        <f>C5*Assumptions!C19</f>
        <v/>
      </c>
      <c r="D9" s="59">
        <f>D5*Assumptions!D19</f>
        <v/>
      </c>
      <c r="E9" s="59">
        <f>E5*Assumptions!E19</f>
        <v/>
      </c>
      <c r="F9" s="59">
        <f>F5*Assumptions!F19</f>
        <v/>
      </c>
      <c r="G9" s="59">
        <f>G5*Assumptions!G19</f>
        <v/>
      </c>
      <c r="H9" s="59">
        <f>H5*Assumptions!H19</f>
        <v/>
      </c>
      <c r="I9" s="59">
        <f>I5*Assumptions!I19</f>
        <v/>
      </c>
      <c r="J9" s="59">
        <f>J5*Assumptions!J19</f>
        <v/>
      </c>
      <c r="K9" s="59">
        <f>K5*Assumptions!K19</f>
        <v/>
      </c>
      <c r="L9" s="59">
        <f>L5*Assumptions!L19</f>
        <v/>
      </c>
      <c r="M9" s="59">
        <f>M5*Assumptions!M19</f>
        <v/>
      </c>
      <c r="N9" s="59">
        <f>N5*Assumptions!N19</f>
        <v/>
      </c>
      <c r="O9" s="59">
        <f>O5*Assumptions!O19</f>
        <v/>
      </c>
      <c r="P9" s="59">
        <f>P5*Assumptions!P19</f>
        <v/>
      </c>
    </row>
    <row r="10" ht="13" customHeight="1">
      <c r="B10" s="58" t="inlineStr">
        <is>
          <t xml:space="preserve">  EBITDA Margin %</t>
        </is>
      </c>
      <c r="C10" s="38">
        <f>C9/C5</f>
        <v/>
      </c>
      <c r="D10" s="38">
        <f>D9/D5</f>
        <v/>
      </c>
      <c r="E10" s="38">
        <f>E9/E5</f>
        <v/>
      </c>
      <c r="F10" s="38">
        <f>F9/F5</f>
        <v/>
      </c>
      <c r="G10" s="38">
        <f>G9/G5</f>
        <v/>
      </c>
      <c r="H10" s="38">
        <f>H9/H5</f>
        <v/>
      </c>
      <c r="I10" s="38">
        <f>I9/I5</f>
        <v/>
      </c>
      <c r="J10" s="38">
        <f>J9/J5</f>
        <v/>
      </c>
      <c r="K10" s="38">
        <f>K9/K5</f>
        <v/>
      </c>
      <c r="L10" s="38">
        <f>L9/L5</f>
        <v/>
      </c>
      <c r="M10" s="38">
        <f>M9/M5</f>
        <v/>
      </c>
      <c r="N10" s="38">
        <f>N9/N5</f>
        <v/>
      </c>
      <c r="O10" s="38">
        <f>O9/O5</f>
        <v/>
      </c>
      <c r="P10" s="38">
        <f>P9/P5</f>
        <v/>
      </c>
    </row>
    <row r="11" ht="13" customHeight="1">
      <c r="B11" s="60" t="inlineStr">
        <is>
          <t>Less: D&amp;A (incl. acquisition amortization)</t>
        </is>
      </c>
      <c r="C11" s="61">
        <f>Assumptions!C20</f>
        <v/>
      </c>
      <c r="D11" s="61">
        <f>Assumptions!D20</f>
        <v/>
      </c>
      <c r="E11" s="61">
        <f>Assumptions!E20</f>
        <v/>
      </c>
      <c r="F11" s="61">
        <f>Assumptions!F20</f>
        <v/>
      </c>
      <c r="G11" s="61">
        <f>Assumptions!G20</f>
        <v/>
      </c>
      <c r="H11" s="61">
        <f>Assumptions!H20</f>
        <v/>
      </c>
      <c r="I11" s="61">
        <f>Assumptions!I20</f>
        <v/>
      </c>
      <c r="J11" s="61">
        <f>Assumptions!J20</f>
        <v/>
      </c>
      <c r="K11" s="61">
        <f>Assumptions!K20</f>
        <v/>
      </c>
      <c r="L11" s="61">
        <f>Assumptions!L20</f>
        <v/>
      </c>
      <c r="M11" s="61">
        <f>Assumptions!M20</f>
        <v/>
      </c>
      <c r="N11" s="61">
        <f>Assumptions!N20</f>
        <v/>
      </c>
      <c r="O11" s="61">
        <f>Assumptions!O20</f>
        <v/>
      </c>
      <c r="P11" s="61">
        <f>Assumptions!P20</f>
        <v/>
      </c>
    </row>
    <row r="12" ht="13" customHeight="1">
      <c r="B12" s="56" t="inlineStr">
        <is>
          <t>EBIT (Operating Income)</t>
        </is>
      </c>
      <c r="C12" s="59">
        <f>C9-C11</f>
        <v/>
      </c>
      <c r="D12" s="59">
        <f>D9-D11</f>
        <v/>
      </c>
      <c r="E12" s="59">
        <f>E9-E11</f>
        <v/>
      </c>
      <c r="F12" s="59">
        <f>F9-F11</f>
        <v/>
      </c>
      <c r="G12" s="59">
        <f>G9-G11</f>
        <v/>
      </c>
      <c r="H12" s="59">
        <f>H9-H11</f>
        <v/>
      </c>
      <c r="I12" s="59">
        <f>I9-I11</f>
        <v/>
      </c>
      <c r="J12" s="59">
        <f>J9-J11</f>
        <v/>
      </c>
      <c r="K12" s="59">
        <f>K9-K11</f>
        <v/>
      </c>
      <c r="L12" s="59">
        <f>L9-L11</f>
        <v/>
      </c>
      <c r="M12" s="59">
        <f>M9-M11</f>
        <v/>
      </c>
      <c r="N12" s="59">
        <f>N9-N11</f>
        <v/>
      </c>
      <c r="O12" s="59">
        <f>O9-O11</f>
        <v/>
      </c>
      <c r="P12" s="59">
        <f>P9-P11</f>
        <v/>
      </c>
    </row>
    <row r="13" ht="13" customHeight="1">
      <c r="B13" s="58" t="inlineStr">
        <is>
          <t xml:space="preserve">  EBIT Margin %</t>
        </is>
      </c>
      <c r="C13" s="38">
        <f>C12/C5</f>
        <v/>
      </c>
      <c r="D13" s="38">
        <f>D12/D5</f>
        <v/>
      </c>
      <c r="E13" s="38">
        <f>E12/E5</f>
        <v/>
      </c>
      <c r="F13" s="38">
        <f>F12/F5</f>
        <v/>
      </c>
      <c r="G13" s="38">
        <f>G12/G5</f>
        <v/>
      </c>
      <c r="H13" s="38">
        <f>H12/H5</f>
        <v/>
      </c>
      <c r="I13" s="38">
        <f>I12/I5</f>
        <v/>
      </c>
      <c r="J13" s="38">
        <f>J12/J5</f>
        <v/>
      </c>
      <c r="K13" s="38">
        <f>K12/K5</f>
        <v/>
      </c>
      <c r="L13" s="38">
        <f>L12/L5</f>
        <v/>
      </c>
      <c r="M13" s="38">
        <f>M12/M5</f>
        <v/>
      </c>
      <c r="N13" s="38">
        <f>N12/N5</f>
        <v/>
      </c>
      <c r="O13" s="38">
        <f>O12/O5</f>
        <v/>
      </c>
      <c r="P13" s="38">
        <f>P12/P5</f>
        <v/>
      </c>
    </row>
    <row r="14">
      <c r="B14" s="21" t="inlineStr">
        <is>
          <t>UNLEVERED FREE CASH FLOW BUILD  (forecast years)</t>
        </is>
      </c>
    </row>
    <row r="15" ht="13" customHeight="1">
      <c r="B15" s="60" t="inlineStr">
        <is>
          <t>EBIT</t>
        </is>
      </c>
      <c r="G15" s="41">
        <f>G12</f>
        <v/>
      </c>
      <c r="H15" s="41">
        <f>H12</f>
        <v/>
      </c>
      <c r="I15" s="41">
        <f>I12</f>
        <v/>
      </c>
      <c r="J15" s="41">
        <f>J12</f>
        <v/>
      </c>
      <c r="K15" s="41">
        <f>K12</f>
        <v/>
      </c>
      <c r="L15" s="41">
        <f>L12</f>
        <v/>
      </c>
      <c r="M15" s="41">
        <f>M12</f>
        <v/>
      </c>
      <c r="N15" s="41">
        <f>N12</f>
        <v/>
      </c>
      <c r="O15" s="41">
        <f>O12</f>
        <v/>
      </c>
      <c r="P15" s="41">
        <f>P12</f>
        <v/>
      </c>
    </row>
    <row r="16" ht="13" customHeight="1">
      <c r="B16" s="60" t="inlineStr">
        <is>
          <t xml:space="preserve">  Less: Cash Taxes</t>
        </is>
      </c>
      <c r="G16" s="41">
        <f>-MAX(0,G15)*Assumptions!G21</f>
        <v/>
      </c>
      <c r="H16" s="41">
        <f>-MAX(0,H15)*Assumptions!H21</f>
        <v/>
      </c>
      <c r="I16" s="41">
        <f>-MAX(0,I15)*Assumptions!I21</f>
        <v/>
      </c>
      <c r="J16" s="41">
        <f>-MAX(0,J15)*Assumptions!J21</f>
        <v/>
      </c>
      <c r="K16" s="41">
        <f>-MAX(0,K15)*Assumptions!K21</f>
        <v/>
      </c>
      <c r="L16" s="41">
        <f>-MAX(0,L15)*Assumptions!L21</f>
        <v/>
      </c>
      <c r="M16" s="41">
        <f>-MAX(0,M15)*Assumptions!M21</f>
        <v/>
      </c>
      <c r="N16" s="41">
        <f>-MAX(0,N15)*Assumptions!N21</f>
        <v/>
      </c>
      <c r="O16" s="41">
        <f>-MAX(0,O15)*Assumptions!O21</f>
        <v/>
      </c>
      <c r="P16" s="41">
        <f>-MAX(0,P15)*Assumptions!P21</f>
        <v/>
      </c>
    </row>
    <row r="17" ht="13" customHeight="1">
      <c r="B17" s="56" t="inlineStr">
        <is>
          <t>NOPAT</t>
        </is>
      </c>
      <c r="G17" s="59">
        <f>G15+G16</f>
        <v/>
      </c>
      <c r="H17" s="59">
        <f>H15+H16</f>
        <v/>
      </c>
      <c r="I17" s="59">
        <f>I15+I16</f>
        <v/>
      </c>
      <c r="J17" s="59">
        <f>J15+J16</f>
        <v/>
      </c>
      <c r="K17" s="59">
        <f>K15+K16</f>
        <v/>
      </c>
      <c r="L17" s="59">
        <f>L15+L16</f>
        <v/>
      </c>
      <c r="M17" s="59">
        <f>M15+M16</f>
        <v/>
      </c>
      <c r="N17" s="59">
        <f>N15+N16</f>
        <v/>
      </c>
      <c r="O17" s="59">
        <f>O15+O16</f>
        <v/>
      </c>
      <c r="P17" s="59">
        <f>P15+P16</f>
        <v/>
      </c>
    </row>
    <row r="18" ht="13" customHeight="1">
      <c r="B18" s="60" t="inlineStr">
        <is>
          <t xml:space="preserve">  Plus: D&amp;A</t>
        </is>
      </c>
      <c r="G18" s="41">
        <f>G11</f>
        <v/>
      </c>
      <c r="H18" s="41">
        <f>H11</f>
        <v/>
      </c>
      <c r="I18" s="41">
        <f>I11</f>
        <v/>
      </c>
      <c r="J18" s="41">
        <f>J11</f>
        <v/>
      </c>
      <c r="K18" s="41">
        <f>K11</f>
        <v/>
      </c>
      <c r="L18" s="41">
        <f>L11</f>
        <v/>
      </c>
      <c r="M18" s="41">
        <f>M11</f>
        <v/>
      </c>
      <c r="N18" s="41">
        <f>N11</f>
        <v/>
      </c>
      <c r="O18" s="41">
        <f>O11</f>
        <v/>
      </c>
      <c r="P18" s="41">
        <f>P11</f>
        <v/>
      </c>
    </row>
    <row r="19" ht="13" customHeight="1">
      <c r="B19" s="60" t="inlineStr">
        <is>
          <t xml:space="preserve">  Less: Capital Expenditures</t>
        </is>
      </c>
      <c r="G19" s="41">
        <f>-Assumptions!G22</f>
        <v/>
      </c>
      <c r="H19" s="41">
        <f>-Assumptions!H22</f>
        <v/>
      </c>
      <c r="I19" s="41">
        <f>-Assumptions!I22</f>
        <v/>
      </c>
      <c r="J19" s="41">
        <f>-Assumptions!J22</f>
        <v/>
      </c>
      <c r="K19" s="41">
        <f>-Assumptions!K22</f>
        <v/>
      </c>
      <c r="L19" s="41">
        <f>-Assumptions!L22</f>
        <v/>
      </c>
      <c r="M19" s="41">
        <f>-Assumptions!M22</f>
        <v/>
      </c>
      <c r="N19" s="41">
        <f>-Assumptions!N22</f>
        <v/>
      </c>
      <c r="O19" s="41">
        <f>-Assumptions!O22</f>
        <v/>
      </c>
      <c r="P19" s="41">
        <f>-Assumptions!P22</f>
        <v/>
      </c>
    </row>
    <row r="20" ht="13" customHeight="1">
      <c r="B20" s="60" t="inlineStr">
        <is>
          <t xml:space="preserve">  Less: Δ Working Capital</t>
        </is>
      </c>
      <c r="G20" s="41">
        <f>-(G5-F5)*Assumptions!G23</f>
        <v/>
      </c>
      <c r="H20" s="41">
        <f>-(H5-G5)*Assumptions!H23</f>
        <v/>
      </c>
      <c r="I20" s="41">
        <f>-(I5-H5)*Assumptions!I23</f>
        <v/>
      </c>
      <c r="J20" s="41">
        <f>-(J5-I5)*Assumptions!J23</f>
        <v/>
      </c>
      <c r="K20" s="41">
        <f>-(K5-J5)*Assumptions!K23</f>
        <v/>
      </c>
      <c r="L20" s="41">
        <f>-(L5-K5)*Assumptions!L23</f>
        <v/>
      </c>
      <c r="M20" s="41">
        <f>-(M5-L5)*Assumptions!M23</f>
        <v/>
      </c>
      <c r="N20" s="41">
        <f>-(N5-M5)*Assumptions!N23</f>
        <v/>
      </c>
      <c r="O20" s="41">
        <f>-(O5-N5)*Assumptions!O23</f>
        <v/>
      </c>
      <c r="P20" s="41">
        <f>-(P5-O5)*Assumptions!P23</f>
        <v/>
      </c>
    </row>
    <row r="21" ht="13" customHeight="1">
      <c r="B21" s="42" t="inlineStr">
        <is>
          <t>Unlevered Free Cash Flow</t>
        </is>
      </c>
      <c r="C21" s="13" t="n"/>
      <c r="D21" s="13" t="n"/>
      <c r="E21" s="13" t="n"/>
      <c r="F21" s="13" t="n"/>
      <c r="G21" s="62">
        <f>G17+G18+G19+G20</f>
        <v/>
      </c>
      <c r="H21" s="62">
        <f>H17+H18+H19+H20</f>
        <v/>
      </c>
      <c r="I21" s="62">
        <f>I17+I18+I19+I20</f>
        <v/>
      </c>
      <c r="J21" s="62">
        <f>J17+J18+J19+J20</f>
        <v/>
      </c>
      <c r="K21" s="62">
        <f>K17+K18+K19+K20</f>
        <v/>
      </c>
      <c r="L21" s="62">
        <f>L17+L18+L19+L20</f>
        <v/>
      </c>
      <c r="M21" s="62">
        <f>M17+M18+M19+M20</f>
        <v/>
      </c>
      <c r="N21" s="62">
        <f>N17+N18+N19+N20</f>
        <v/>
      </c>
      <c r="O21" s="62">
        <f>O17+O18+O19+O20</f>
        <v/>
      </c>
      <c r="P21" s="62">
        <f>P17+P18+P19+P20</f>
        <v/>
      </c>
    </row>
    <row r="23" ht="4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</row>
    <row r="24">
      <c r="B24" s="27" t="inlineStr">
        <is>
          <t>Francisco Rodriguez  |  Financial Modeling Portfolio  |  github.com/Azyo1</t>
        </is>
      </c>
    </row>
  </sheetData>
  <mergeCells count="3">
    <mergeCell ref="B14:P14"/>
    <mergeCell ref="B2:P2"/>
    <mergeCell ref="B4:P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4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40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.5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0" customHeight="1">
      <c r="B2" s="28" t="inlineStr">
        <is>
          <t>AMD — Discounted Cash Flow Analysis ($M)</t>
        </is>
      </c>
    </row>
    <row r="3">
      <c r="B3" s="29" t="inlineStr"/>
      <c r="C3" s="30" t="inlineStr">
        <is>
          <t>Value</t>
        </is>
      </c>
      <c r="D3" s="31" t="inlineStr">
        <is>
          <t>FY2026E</t>
        </is>
      </c>
      <c r="E3" s="31" t="inlineStr">
        <is>
          <t>FY2027E</t>
        </is>
      </c>
      <c r="F3" s="31" t="inlineStr">
        <is>
          <t>FY2028E</t>
        </is>
      </c>
      <c r="G3" s="31" t="inlineStr">
        <is>
          <t>FY2029E</t>
        </is>
      </c>
      <c r="H3" s="31" t="inlineStr">
        <is>
          <t>FY2030E</t>
        </is>
      </c>
      <c r="I3" s="31" t="inlineStr">
        <is>
          <t>FY2031E</t>
        </is>
      </c>
      <c r="J3" s="31" t="inlineStr">
        <is>
          <t>FY2032E</t>
        </is>
      </c>
      <c r="K3" s="31" t="inlineStr">
        <is>
          <t>FY2033E</t>
        </is>
      </c>
      <c r="L3" s="31" t="inlineStr">
        <is>
          <t>FY2034E</t>
        </is>
      </c>
      <c r="M3" s="31" t="inlineStr">
        <is>
          <t>FY2035E</t>
        </is>
      </c>
    </row>
    <row r="4">
      <c r="B4" s="21" t="inlineStr">
        <is>
          <t>WACC BUILD</t>
        </is>
      </c>
    </row>
    <row r="5" ht="13" customHeight="1">
      <c r="B5" s="60" t="inlineStr">
        <is>
          <t>Risk-Free Rate</t>
        </is>
      </c>
      <c r="C5" s="63">
        <f>Assumptions!$C$34</f>
        <v/>
      </c>
    </row>
    <row r="6" ht="13" customHeight="1">
      <c r="B6" s="60" t="inlineStr">
        <is>
          <t>Equity Risk Premium</t>
        </is>
      </c>
      <c r="C6" s="63">
        <f>Assumptions!$C$35</f>
        <v/>
      </c>
    </row>
    <row r="7" ht="13" customHeight="1">
      <c r="B7" s="60" t="inlineStr">
        <is>
          <t>Levered Beta</t>
        </is>
      </c>
      <c r="C7" s="64">
        <f>Assumptions!$C$36</f>
        <v/>
      </c>
    </row>
    <row r="8" ht="13" customHeight="1">
      <c r="B8" s="56" t="inlineStr">
        <is>
          <t>Cost of Equity  [Rf + β × ERP]</t>
        </is>
      </c>
      <c r="C8" s="65">
        <f>C5+C7*C6</f>
        <v/>
      </c>
    </row>
    <row r="9" ht="13" customHeight="1">
      <c r="B9" s="60" t="inlineStr">
        <is>
          <t>Pre-Tax Cost of Debt</t>
        </is>
      </c>
      <c r="C9" s="63">
        <f>Assumptions!$C$37</f>
        <v/>
      </c>
    </row>
    <row r="10" ht="13" customHeight="1">
      <c r="B10" s="60" t="inlineStr">
        <is>
          <t>Tax Rate</t>
        </is>
      </c>
      <c r="C10" s="63">
        <f>Assumptions!$C$38</f>
        <v/>
      </c>
    </row>
    <row r="11" ht="13" customHeight="1">
      <c r="B11" s="60" t="inlineStr">
        <is>
          <t>After-Tax Cost of Debt</t>
        </is>
      </c>
      <c r="C11" s="51">
        <f>C9*(1-C10)</f>
        <v/>
      </c>
    </row>
    <row r="12" ht="13" customHeight="1">
      <c r="B12" s="60" t="inlineStr">
        <is>
          <t>Debt / Total Capital</t>
        </is>
      </c>
      <c r="C12" s="63">
        <f>Assumptions!$C$39</f>
        <v/>
      </c>
    </row>
    <row r="13" ht="13" customHeight="1">
      <c r="B13" s="60" t="inlineStr">
        <is>
          <t>Equity / Total Capital</t>
        </is>
      </c>
      <c r="C13" s="51">
        <f>1-C12</f>
        <v/>
      </c>
    </row>
    <row r="14" ht="13" customHeight="1">
      <c r="B14" s="56" t="inlineStr">
        <is>
          <t>WACC  [Ke×We + Kd×Wd]</t>
        </is>
      </c>
      <c r="C14" s="65">
        <f>C8*C13+C11*C12</f>
        <v/>
      </c>
    </row>
    <row r="15">
      <c r="B15" s="21" t="inlineStr">
        <is>
          <t>FREE CASH FLOW PROJECTION  (mid-year convention, stub-adjusted)</t>
        </is>
      </c>
    </row>
    <row r="16">
      <c r="B16" s="29" t="inlineStr">
        <is>
          <t>Metric</t>
        </is>
      </c>
      <c r="C16" s="29" t="inlineStr"/>
      <c r="D16" s="30" t="inlineStr">
        <is>
          <t>FY2026E</t>
        </is>
      </c>
      <c r="E16" s="30" t="inlineStr">
        <is>
          <t>FY2027E</t>
        </is>
      </c>
      <c r="F16" s="30" t="inlineStr">
        <is>
          <t>FY2028E</t>
        </is>
      </c>
      <c r="G16" s="30" t="inlineStr">
        <is>
          <t>FY2029E</t>
        </is>
      </c>
      <c r="H16" s="30" t="inlineStr">
        <is>
          <t>FY2030E</t>
        </is>
      </c>
      <c r="I16" s="30" t="inlineStr">
        <is>
          <t>FY2031E</t>
        </is>
      </c>
      <c r="J16" s="30" t="inlineStr">
        <is>
          <t>FY2032E</t>
        </is>
      </c>
      <c r="K16" s="30" t="inlineStr">
        <is>
          <t>FY2033E</t>
        </is>
      </c>
      <c r="L16" s="30" t="inlineStr">
        <is>
          <t>FY2034E</t>
        </is>
      </c>
      <c r="M16" s="30" t="inlineStr">
        <is>
          <t>FY2035E</t>
        </is>
      </c>
    </row>
    <row r="17">
      <c r="B17" s="42" t="inlineStr">
        <is>
          <t>Unlevered Free Cash Flow</t>
        </is>
      </c>
      <c r="C17" s="13" t="n"/>
      <c r="D17" s="40">
        <f>'Income Statement'!G21</f>
        <v/>
      </c>
      <c r="E17" s="40">
        <f>'Income Statement'!H21</f>
        <v/>
      </c>
      <c r="F17" s="40">
        <f>'Income Statement'!I21</f>
        <v/>
      </c>
      <c r="G17" s="40">
        <f>'Income Statement'!J21</f>
        <v/>
      </c>
      <c r="H17" s="40">
        <f>'Income Statement'!K21</f>
        <v/>
      </c>
      <c r="I17" s="40">
        <f>'Income Statement'!L21</f>
        <v/>
      </c>
      <c r="J17" s="40">
        <f>'Income Statement'!M21</f>
        <v/>
      </c>
      <c r="K17" s="40">
        <f>'Income Statement'!N21</f>
        <v/>
      </c>
      <c r="L17" s="40">
        <f>'Income Statement'!O21</f>
        <v/>
      </c>
      <c r="M17" s="40">
        <f>'Income Statement'!P21</f>
        <v/>
      </c>
    </row>
    <row r="18">
      <c r="B18" s="60" t="inlineStr">
        <is>
          <t>Fraction of Year Valued</t>
        </is>
      </c>
      <c r="D18" s="47">
        <f>Assumptions!$C$28</f>
        <v/>
      </c>
      <c r="E18" s="47">
        <f>1</f>
        <v/>
      </c>
      <c r="F18" s="47">
        <f>1</f>
        <v/>
      </c>
      <c r="G18" s="47">
        <f>1</f>
        <v/>
      </c>
      <c r="H18" s="47">
        <f>1</f>
        <v/>
      </c>
      <c r="I18" s="47">
        <f>1</f>
        <v/>
      </c>
      <c r="J18" s="47">
        <f>1</f>
        <v/>
      </c>
      <c r="K18" s="47">
        <f>1</f>
        <v/>
      </c>
      <c r="L18" s="47">
        <f>1</f>
        <v/>
      </c>
      <c r="M18" s="47">
        <f>1</f>
        <v/>
      </c>
    </row>
    <row r="19">
      <c r="B19" s="60" t="inlineStr">
        <is>
          <t>Discount Period (years from valuation date)</t>
        </is>
      </c>
      <c r="D19" s="47">
        <f>D18/2</f>
        <v/>
      </c>
      <c r="E19" s="47">
        <f>SUM($D$18:D18)+E18/2</f>
        <v/>
      </c>
      <c r="F19" s="47">
        <f>SUM($D$18:E18)+F18/2</f>
        <v/>
      </c>
      <c r="G19" s="47">
        <f>SUM($D$18:F18)+G18/2</f>
        <v/>
      </c>
      <c r="H19" s="47">
        <f>SUM($D$18:G18)+H18/2</f>
        <v/>
      </c>
      <c r="I19" s="47">
        <f>SUM($D$18:H18)+I18/2</f>
        <v/>
      </c>
      <c r="J19" s="47">
        <f>SUM($D$18:I18)+J18/2</f>
        <v/>
      </c>
      <c r="K19" s="47">
        <f>SUM($D$18:J18)+K18/2</f>
        <v/>
      </c>
      <c r="L19" s="47">
        <f>SUM($D$18:K18)+L18/2</f>
        <v/>
      </c>
      <c r="M19" s="47">
        <f>SUM($D$18:L18)+M18/2</f>
        <v/>
      </c>
    </row>
    <row r="20">
      <c r="B20" s="60" t="inlineStr">
        <is>
          <t>Discount Factor  [1/(1+WACC)^t]</t>
        </is>
      </c>
      <c r="D20" s="66">
        <f>1/(1+$C$14)^D19</f>
        <v/>
      </c>
      <c r="E20" s="66">
        <f>1/(1+$C$14)^E19</f>
        <v/>
      </c>
      <c r="F20" s="66">
        <f>1/(1+$C$14)^F19</f>
        <v/>
      </c>
      <c r="G20" s="66">
        <f>1/(1+$C$14)^G19</f>
        <v/>
      </c>
      <c r="H20" s="66">
        <f>1/(1+$C$14)^H19</f>
        <v/>
      </c>
      <c r="I20" s="66">
        <f>1/(1+$C$14)^I19</f>
        <v/>
      </c>
      <c r="J20" s="66">
        <f>1/(1+$C$14)^J19</f>
        <v/>
      </c>
      <c r="K20" s="66">
        <f>1/(1+$C$14)^K19</f>
        <v/>
      </c>
      <c r="L20" s="66">
        <f>1/(1+$C$14)^L19</f>
        <v/>
      </c>
      <c r="M20" s="66">
        <f>1/(1+$C$14)^M19</f>
        <v/>
      </c>
    </row>
    <row r="21">
      <c r="B21" s="42" t="inlineStr">
        <is>
          <t>PV of Free Cash Flow</t>
        </is>
      </c>
      <c r="C21" s="13" t="n"/>
      <c r="D21" s="43">
        <f>D17*D18*D20</f>
        <v/>
      </c>
      <c r="E21" s="43">
        <f>E17*E18*E20</f>
        <v/>
      </c>
      <c r="F21" s="43">
        <f>F17*F18*F20</f>
        <v/>
      </c>
      <c r="G21" s="43">
        <f>G17*G18*G20</f>
        <v/>
      </c>
      <c r="H21" s="43">
        <f>H17*H18*H20</f>
        <v/>
      </c>
      <c r="I21" s="43">
        <f>I17*I18*I20</f>
        <v/>
      </c>
      <c r="J21" s="43">
        <f>J17*J18*J20</f>
        <v/>
      </c>
      <c r="K21" s="43">
        <f>K17*K18*K20</f>
        <v/>
      </c>
      <c r="L21" s="43">
        <f>L17*L18*L20</f>
        <v/>
      </c>
      <c r="M21" s="43">
        <f>M17*M18*M20</f>
        <v/>
      </c>
    </row>
    <row r="22">
      <c r="B22" s="21" t="inlineStr">
        <is>
          <t>TERMINAL VALUE &amp; EQUITY BRIDGE</t>
        </is>
      </c>
    </row>
    <row r="23" ht="14" customHeight="1">
      <c r="B23" s="56" t="inlineStr">
        <is>
          <t>Sum of PV (FCFs)</t>
        </is>
      </c>
      <c r="C23" s="67">
        <f>SUM(D21:M21)</f>
        <v/>
      </c>
    </row>
    <row r="24" ht="14" customHeight="1">
      <c r="B24" s="60" t="inlineStr">
        <is>
          <t>Terminal Growth Rate (g)</t>
        </is>
      </c>
      <c r="C24" s="63">
        <f>Assumptions!$C$41</f>
        <v/>
      </c>
    </row>
    <row r="25" ht="14" customHeight="1">
      <c r="B25" s="60" t="inlineStr">
        <is>
          <t>Terminal Year FCF  (FY2035E × (1+g))</t>
        </is>
      </c>
      <c r="C25" s="41">
        <f>M17*(1+C24)</f>
        <v/>
      </c>
    </row>
    <row r="26" ht="14" customHeight="1">
      <c r="B26" s="60" t="inlineStr">
        <is>
          <t>Terminal Value  [FCF_T+1 / (WACC−g)]</t>
        </is>
      </c>
      <c r="C26" s="41">
        <f>C25/($C$14-C24)</f>
        <v/>
      </c>
    </row>
    <row r="27" ht="14" customHeight="1">
      <c r="B27" s="60" t="inlineStr">
        <is>
          <t>PV of Terminal Value</t>
        </is>
      </c>
      <c r="C27" s="41">
        <f>C26*M20</f>
        <v/>
      </c>
    </row>
    <row r="28" ht="14" customHeight="1">
      <c r="B28" s="68" t="inlineStr">
        <is>
          <t>Enterprise Value</t>
        </is>
      </c>
      <c r="C28" s="69">
        <f>C23+C27</f>
        <v/>
      </c>
    </row>
    <row r="29" ht="14" customHeight="1">
      <c r="B29" s="60" t="inlineStr">
        <is>
          <t xml:space="preserve">  TV as % of EV</t>
        </is>
      </c>
      <c r="C29" s="38">
        <f>C27/C28</f>
        <v/>
      </c>
    </row>
    <row r="30" ht="14" customHeight="1">
      <c r="B30" s="60" t="inlineStr">
        <is>
          <t xml:space="preserve">  Implied TV / Terminal-Year EBITDA</t>
        </is>
      </c>
      <c r="C30" s="70">
        <f>C26/'Income Statement'!P9</f>
        <v/>
      </c>
    </row>
    <row r="31" ht="14" customHeight="1">
      <c r="B31" s="60" t="inlineStr">
        <is>
          <t>Plus: Cash &amp; Short-Term Investments</t>
        </is>
      </c>
      <c r="C31" s="61">
        <f>Assumptions!$C$30</f>
        <v/>
      </c>
    </row>
    <row r="32" ht="14" customHeight="1">
      <c r="B32" s="60" t="inlineStr">
        <is>
          <t>Less: Total Debt</t>
        </is>
      </c>
      <c r="C32" s="61">
        <f>Assumptions!$C$31</f>
        <v/>
      </c>
    </row>
    <row r="33" ht="14" customHeight="1">
      <c r="B33" s="56" t="inlineStr">
        <is>
          <t>Equity Value</t>
        </is>
      </c>
      <c r="C33" s="67">
        <f>C28+C31-C32</f>
        <v/>
      </c>
    </row>
    <row r="34" ht="14" customHeight="1">
      <c r="B34" s="60" t="inlineStr">
        <is>
          <t>Diluted Shares Outstanding (M)</t>
        </is>
      </c>
      <c r="C34" s="61">
        <f>Assumptions!$C$32</f>
        <v/>
      </c>
    </row>
    <row r="35" ht="14" customHeight="1">
      <c r="B35" s="68" t="inlineStr">
        <is>
          <t>DCF Value per Share (Base Case)</t>
        </is>
      </c>
      <c r="C35" s="71">
        <f>C33/C34</f>
        <v/>
      </c>
    </row>
    <row r="36" ht="14" customHeight="1">
      <c r="B36" s="60" t="inlineStr">
        <is>
          <t>Current Share Price</t>
        </is>
      </c>
      <c r="C36" s="72">
        <f>Assumptions!$C$29</f>
        <v/>
      </c>
    </row>
    <row r="37" ht="14" customHeight="1">
      <c r="B37" s="56" t="inlineStr">
        <is>
          <t>DCF Upside / (Downside)</t>
        </is>
      </c>
      <c r="C37" s="73">
        <f>C35/C36-1</f>
        <v/>
      </c>
    </row>
    <row r="38" ht="14" customHeight="1">
      <c r="B38" s="60" t="inlineStr">
        <is>
          <t>Probability-Weighted Value (Sensitivity)</t>
        </is>
      </c>
      <c r="C38" s="72">
        <f>Sensitivity!$C$40</f>
        <v/>
      </c>
    </row>
    <row r="39" ht="14" customHeight="1">
      <c r="B39" s="68" t="inlineStr">
        <is>
          <t>★ PRICE TARGET</t>
        </is>
      </c>
      <c r="C39" s="74">
        <f>ROUND(C38/Assumptions!$C$44,0)*Assumptions!$C$44</f>
        <v/>
      </c>
    </row>
    <row r="40" ht="14" customHeight="1">
      <c r="B40" s="68" t="inlineStr">
        <is>
          <t>PT Upside / (Downside)</t>
        </is>
      </c>
      <c r="C40" s="75">
        <f>C39/C36-1</f>
        <v/>
      </c>
    </row>
    <row r="41" ht="14" customHeight="1">
      <c r="B41" s="68" t="inlineStr">
        <is>
          <t>★ RATING</t>
        </is>
      </c>
      <c r="C41" s="76">
        <f>IF(C40&gt;=Assumptions!$C$42,"OVERWEIGHT",IF(C40&lt;=Assumptions!$C$43,"UNDERWEIGHT","EQUAL-WEIGHT"))</f>
        <v/>
      </c>
    </row>
    <row r="43" ht="4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>
      <c r="B44" s="27" t="inlineStr">
        <is>
          <t>Francisco Rodriguez  |  Financial Modeling Portfolio  |  github.com/Azyo1</t>
        </is>
      </c>
    </row>
  </sheetData>
  <mergeCells count="4">
    <mergeCell ref="B22:M22"/>
    <mergeCell ref="B4:M4"/>
    <mergeCell ref="B2:M2"/>
    <mergeCell ref="B15:M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4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.5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0" customHeight="1">
      <c r="B2" s="28" t="inlineStr">
        <is>
          <t>AMD — Sensitivity &amp; Scenario Analysis  (live formulas)</t>
        </is>
      </c>
    </row>
    <row r="3">
      <c r="B3" s="21" t="inlineStr">
        <is>
          <t>TABLE 1 — Base-Case DCF Value per Share: WACC × Terminal Growth</t>
        </is>
      </c>
    </row>
    <row r="4">
      <c r="B4" s="77" t="inlineStr">
        <is>
          <t>TGR ↓   |   WACC →</t>
        </is>
      </c>
      <c r="C4" s="78">
        <f>DCF!$C$14+(-3)*Assumptions!$C$45</f>
        <v/>
      </c>
      <c r="D4" s="78">
        <f>DCF!$C$14+(-2)*Assumptions!$C$45</f>
        <v/>
      </c>
      <c r="E4" s="78">
        <f>DCF!$C$14+(-1)*Assumptions!$C$45</f>
        <v/>
      </c>
      <c r="F4" s="78">
        <f>DCF!$C$14+(0)*Assumptions!$C$45</f>
        <v/>
      </c>
      <c r="G4" s="78">
        <f>DCF!$C$14+(1)*Assumptions!$C$45</f>
        <v/>
      </c>
      <c r="H4" s="78">
        <f>DCF!$C$14+(2)*Assumptions!$C$45</f>
        <v/>
      </c>
      <c r="I4" s="78">
        <f>DCF!$C$14+(3)*Assumptions!$C$45</f>
        <v/>
      </c>
    </row>
    <row r="5" ht="14" customHeight="1">
      <c r="B5" s="78">
        <f>Assumptions!$C$41+(-2)*Assumptions!$C$46</f>
        <v/>
      </c>
      <c r="C5" s="79">
        <f>(DCF!D$17*DCF!D$18/(1+C$4)^DCF!D$19+DCF!E$17*DCF!E$18/(1+C$4)^DCF!E$19+DCF!F$17*DCF!F$18/(1+C$4)^DCF!F$19+DCF!G$17*DCF!G$18/(1+C$4)^DCF!G$19+DCF!H$17*DCF!H$18/(1+C$4)^DCF!H$19+DCF!I$17*DCF!I$18/(1+C$4)^DCF!I$19+DCF!J$17*DCF!J$18/(1+C$4)^DCF!J$19+DCF!K$17*DCF!K$18/(1+C$4)^DCF!K$19+DCF!L$17*DCF!L$18/(1+C$4)^DCF!L$19+DCF!M$17*DCF!M$18/(1+C$4)^DCF!M$19+DCF!$M$17*(1+$B5)/(C$4-$B5)/(1+C$4)^DCF!$M$19+DCF!$C$31-DCF!$C$32)/DCF!$C$34</f>
        <v/>
      </c>
      <c r="D5" s="79">
        <f>(DCF!D$17*DCF!D$18/(1+D$4)^DCF!D$19+DCF!E$17*DCF!E$18/(1+D$4)^DCF!E$19+DCF!F$17*DCF!F$18/(1+D$4)^DCF!F$19+DCF!G$17*DCF!G$18/(1+D$4)^DCF!G$19+DCF!H$17*DCF!H$18/(1+D$4)^DCF!H$19+DCF!I$17*DCF!I$18/(1+D$4)^DCF!I$19+DCF!J$17*DCF!J$18/(1+D$4)^DCF!J$19+DCF!K$17*DCF!K$18/(1+D$4)^DCF!K$19+DCF!L$17*DCF!L$18/(1+D$4)^DCF!L$19+DCF!M$17*DCF!M$18/(1+D$4)^DCF!M$19+DCF!$M$17*(1+$B5)/(D$4-$B5)/(1+D$4)^DCF!$M$19+DCF!$C$31-DCF!$C$32)/DCF!$C$34</f>
        <v/>
      </c>
      <c r="E5" s="79">
        <f>(DCF!D$17*DCF!D$18/(1+E$4)^DCF!D$19+DCF!E$17*DCF!E$18/(1+E$4)^DCF!E$19+DCF!F$17*DCF!F$18/(1+E$4)^DCF!F$19+DCF!G$17*DCF!G$18/(1+E$4)^DCF!G$19+DCF!H$17*DCF!H$18/(1+E$4)^DCF!H$19+DCF!I$17*DCF!I$18/(1+E$4)^DCF!I$19+DCF!J$17*DCF!J$18/(1+E$4)^DCF!J$19+DCF!K$17*DCF!K$18/(1+E$4)^DCF!K$19+DCF!L$17*DCF!L$18/(1+E$4)^DCF!L$19+DCF!M$17*DCF!M$18/(1+E$4)^DCF!M$19+DCF!$M$17*(1+$B5)/(E$4-$B5)/(1+E$4)^DCF!$M$19+DCF!$C$31-DCF!$C$32)/DCF!$C$34</f>
        <v/>
      </c>
      <c r="F5" s="79">
        <f>(DCF!D$17*DCF!D$18/(1+F$4)^DCF!D$19+DCF!E$17*DCF!E$18/(1+F$4)^DCF!E$19+DCF!F$17*DCF!F$18/(1+F$4)^DCF!F$19+DCF!G$17*DCF!G$18/(1+F$4)^DCF!G$19+DCF!H$17*DCF!H$18/(1+F$4)^DCF!H$19+DCF!I$17*DCF!I$18/(1+F$4)^DCF!I$19+DCF!J$17*DCF!J$18/(1+F$4)^DCF!J$19+DCF!K$17*DCF!K$18/(1+F$4)^DCF!K$19+DCF!L$17*DCF!L$18/(1+F$4)^DCF!L$19+DCF!M$17*DCF!M$18/(1+F$4)^DCF!M$19+DCF!$M$17*(1+$B5)/(F$4-$B5)/(1+F$4)^DCF!$M$19+DCF!$C$31-DCF!$C$32)/DCF!$C$34</f>
        <v/>
      </c>
      <c r="G5" s="79">
        <f>(DCF!D$17*DCF!D$18/(1+G$4)^DCF!D$19+DCF!E$17*DCF!E$18/(1+G$4)^DCF!E$19+DCF!F$17*DCF!F$18/(1+G$4)^DCF!F$19+DCF!G$17*DCF!G$18/(1+G$4)^DCF!G$19+DCF!H$17*DCF!H$18/(1+G$4)^DCF!H$19+DCF!I$17*DCF!I$18/(1+G$4)^DCF!I$19+DCF!J$17*DCF!J$18/(1+G$4)^DCF!J$19+DCF!K$17*DCF!K$18/(1+G$4)^DCF!K$19+DCF!L$17*DCF!L$18/(1+G$4)^DCF!L$19+DCF!M$17*DCF!M$18/(1+G$4)^DCF!M$19+DCF!$M$17*(1+$B5)/(G$4-$B5)/(1+G$4)^DCF!$M$19+DCF!$C$31-DCF!$C$32)/DCF!$C$34</f>
        <v/>
      </c>
      <c r="H5" s="79">
        <f>(DCF!D$17*DCF!D$18/(1+H$4)^DCF!D$19+DCF!E$17*DCF!E$18/(1+H$4)^DCF!E$19+DCF!F$17*DCF!F$18/(1+H$4)^DCF!F$19+DCF!G$17*DCF!G$18/(1+H$4)^DCF!G$19+DCF!H$17*DCF!H$18/(1+H$4)^DCF!H$19+DCF!I$17*DCF!I$18/(1+H$4)^DCF!I$19+DCF!J$17*DCF!J$18/(1+H$4)^DCF!J$19+DCF!K$17*DCF!K$18/(1+H$4)^DCF!K$19+DCF!L$17*DCF!L$18/(1+H$4)^DCF!L$19+DCF!M$17*DCF!M$18/(1+H$4)^DCF!M$19+DCF!$M$17*(1+$B5)/(H$4-$B5)/(1+H$4)^DCF!$M$19+DCF!$C$31-DCF!$C$32)/DCF!$C$34</f>
        <v/>
      </c>
      <c r="I5" s="79">
        <f>(DCF!D$17*DCF!D$18/(1+I$4)^DCF!D$19+DCF!E$17*DCF!E$18/(1+I$4)^DCF!E$19+DCF!F$17*DCF!F$18/(1+I$4)^DCF!F$19+DCF!G$17*DCF!G$18/(1+I$4)^DCF!G$19+DCF!H$17*DCF!H$18/(1+I$4)^DCF!H$19+DCF!I$17*DCF!I$18/(1+I$4)^DCF!I$19+DCF!J$17*DCF!J$18/(1+I$4)^DCF!J$19+DCF!K$17*DCF!K$18/(1+I$4)^DCF!K$19+DCF!L$17*DCF!L$18/(1+I$4)^DCF!L$19+DCF!M$17*DCF!M$18/(1+I$4)^DCF!M$19+DCF!$M$17*(1+$B5)/(I$4-$B5)/(1+I$4)^DCF!$M$19+DCF!$C$31-DCF!$C$32)/DCF!$C$34</f>
        <v/>
      </c>
    </row>
    <row r="6" ht="14" customHeight="1">
      <c r="B6" s="78">
        <f>Assumptions!$C$41+(-1)*Assumptions!$C$46</f>
        <v/>
      </c>
      <c r="C6" s="79">
        <f>(DCF!D$17*DCF!D$18/(1+C$4)^DCF!D$19+DCF!E$17*DCF!E$18/(1+C$4)^DCF!E$19+DCF!F$17*DCF!F$18/(1+C$4)^DCF!F$19+DCF!G$17*DCF!G$18/(1+C$4)^DCF!G$19+DCF!H$17*DCF!H$18/(1+C$4)^DCF!H$19+DCF!I$17*DCF!I$18/(1+C$4)^DCF!I$19+DCF!J$17*DCF!J$18/(1+C$4)^DCF!J$19+DCF!K$17*DCF!K$18/(1+C$4)^DCF!K$19+DCF!L$17*DCF!L$18/(1+C$4)^DCF!L$19+DCF!M$17*DCF!M$18/(1+C$4)^DCF!M$19+DCF!$M$17*(1+$B6)/(C$4-$B6)/(1+C$4)^DCF!$M$19+DCF!$C$31-DCF!$C$32)/DCF!$C$34</f>
        <v/>
      </c>
      <c r="D6" s="79">
        <f>(DCF!D$17*DCF!D$18/(1+D$4)^DCF!D$19+DCF!E$17*DCF!E$18/(1+D$4)^DCF!E$19+DCF!F$17*DCF!F$18/(1+D$4)^DCF!F$19+DCF!G$17*DCF!G$18/(1+D$4)^DCF!G$19+DCF!H$17*DCF!H$18/(1+D$4)^DCF!H$19+DCF!I$17*DCF!I$18/(1+D$4)^DCF!I$19+DCF!J$17*DCF!J$18/(1+D$4)^DCF!J$19+DCF!K$17*DCF!K$18/(1+D$4)^DCF!K$19+DCF!L$17*DCF!L$18/(1+D$4)^DCF!L$19+DCF!M$17*DCF!M$18/(1+D$4)^DCF!M$19+DCF!$M$17*(1+$B6)/(D$4-$B6)/(1+D$4)^DCF!$M$19+DCF!$C$31-DCF!$C$32)/DCF!$C$34</f>
        <v/>
      </c>
      <c r="E6" s="79">
        <f>(DCF!D$17*DCF!D$18/(1+E$4)^DCF!D$19+DCF!E$17*DCF!E$18/(1+E$4)^DCF!E$19+DCF!F$17*DCF!F$18/(1+E$4)^DCF!F$19+DCF!G$17*DCF!G$18/(1+E$4)^DCF!G$19+DCF!H$17*DCF!H$18/(1+E$4)^DCF!H$19+DCF!I$17*DCF!I$18/(1+E$4)^DCF!I$19+DCF!J$17*DCF!J$18/(1+E$4)^DCF!J$19+DCF!K$17*DCF!K$18/(1+E$4)^DCF!K$19+DCF!L$17*DCF!L$18/(1+E$4)^DCF!L$19+DCF!M$17*DCF!M$18/(1+E$4)^DCF!M$19+DCF!$M$17*(1+$B6)/(E$4-$B6)/(1+E$4)^DCF!$M$19+DCF!$C$31-DCF!$C$32)/DCF!$C$34</f>
        <v/>
      </c>
      <c r="F6" s="79">
        <f>(DCF!D$17*DCF!D$18/(1+F$4)^DCF!D$19+DCF!E$17*DCF!E$18/(1+F$4)^DCF!E$19+DCF!F$17*DCF!F$18/(1+F$4)^DCF!F$19+DCF!G$17*DCF!G$18/(1+F$4)^DCF!G$19+DCF!H$17*DCF!H$18/(1+F$4)^DCF!H$19+DCF!I$17*DCF!I$18/(1+F$4)^DCF!I$19+DCF!J$17*DCF!J$18/(1+F$4)^DCF!J$19+DCF!K$17*DCF!K$18/(1+F$4)^DCF!K$19+DCF!L$17*DCF!L$18/(1+F$4)^DCF!L$19+DCF!M$17*DCF!M$18/(1+F$4)^DCF!M$19+DCF!$M$17*(1+$B6)/(F$4-$B6)/(1+F$4)^DCF!$M$19+DCF!$C$31-DCF!$C$32)/DCF!$C$34</f>
        <v/>
      </c>
      <c r="G6" s="79">
        <f>(DCF!D$17*DCF!D$18/(1+G$4)^DCF!D$19+DCF!E$17*DCF!E$18/(1+G$4)^DCF!E$19+DCF!F$17*DCF!F$18/(1+G$4)^DCF!F$19+DCF!G$17*DCF!G$18/(1+G$4)^DCF!G$19+DCF!H$17*DCF!H$18/(1+G$4)^DCF!H$19+DCF!I$17*DCF!I$18/(1+G$4)^DCF!I$19+DCF!J$17*DCF!J$18/(1+G$4)^DCF!J$19+DCF!K$17*DCF!K$18/(1+G$4)^DCF!K$19+DCF!L$17*DCF!L$18/(1+G$4)^DCF!L$19+DCF!M$17*DCF!M$18/(1+G$4)^DCF!M$19+DCF!$M$17*(1+$B6)/(G$4-$B6)/(1+G$4)^DCF!$M$19+DCF!$C$31-DCF!$C$32)/DCF!$C$34</f>
        <v/>
      </c>
      <c r="H6" s="79">
        <f>(DCF!D$17*DCF!D$18/(1+H$4)^DCF!D$19+DCF!E$17*DCF!E$18/(1+H$4)^DCF!E$19+DCF!F$17*DCF!F$18/(1+H$4)^DCF!F$19+DCF!G$17*DCF!G$18/(1+H$4)^DCF!G$19+DCF!H$17*DCF!H$18/(1+H$4)^DCF!H$19+DCF!I$17*DCF!I$18/(1+H$4)^DCF!I$19+DCF!J$17*DCF!J$18/(1+H$4)^DCF!J$19+DCF!K$17*DCF!K$18/(1+H$4)^DCF!K$19+DCF!L$17*DCF!L$18/(1+H$4)^DCF!L$19+DCF!M$17*DCF!M$18/(1+H$4)^DCF!M$19+DCF!$M$17*(1+$B6)/(H$4-$B6)/(1+H$4)^DCF!$M$19+DCF!$C$31-DCF!$C$32)/DCF!$C$34</f>
        <v/>
      </c>
      <c r="I6" s="79">
        <f>(DCF!D$17*DCF!D$18/(1+I$4)^DCF!D$19+DCF!E$17*DCF!E$18/(1+I$4)^DCF!E$19+DCF!F$17*DCF!F$18/(1+I$4)^DCF!F$19+DCF!G$17*DCF!G$18/(1+I$4)^DCF!G$19+DCF!H$17*DCF!H$18/(1+I$4)^DCF!H$19+DCF!I$17*DCF!I$18/(1+I$4)^DCF!I$19+DCF!J$17*DCF!J$18/(1+I$4)^DCF!J$19+DCF!K$17*DCF!K$18/(1+I$4)^DCF!K$19+DCF!L$17*DCF!L$18/(1+I$4)^DCF!L$19+DCF!M$17*DCF!M$18/(1+I$4)^DCF!M$19+DCF!$M$17*(1+$B6)/(I$4-$B6)/(1+I$4)^DCF!$M$19+DCF!$C$31-DCF!$C$32)/DCF!$C$34</f>
        <v/>
      </c>
    </row>
    <row r="7" ht="14" customHeight="1">
      <c r="B7" s="78">
        <f>Assumptions!$C$41+(0)*Assumptions!$C$46</f>
        <v/>
      </c>
      <c r="C7" s="79">
        <f>(DCF!D$17*DCF!D$18/(1+C$4)^DCF!D$19+DCF!E$17*DCF!E$18/(1+C$4)^DCF!E$19+DCF!F$17*DCF!F$18/(1+C$4)^DCF!F$19+DCF!G$17*DCF!G$18/(1+C$4)^DCF!G$19+DCF!H$17*DCF!H$18/(1+C$4)^DCF!H$19+DCF!I$17*DCF!I$18/(1+C$4)^DCF!I$19+DCF!J$17*DCF!J$18/(1+C$4)^DCF!J$19+DCF!K$17*DCF!K$18/(1+C$4)^DCF!K$19+DCF!L$17*DCF!L$18/(1+C$4)^DCF!L$19+DCF!M$17*DCF!M$18/(1+C$4)^DCF!M$19+DCF!$M$17*(1+$B7)/(C$4-$B7)/(1+C$4)^DCF!$M$19+DCF!$C$31-DCF!$C$32)/DCF!$C$34</f>
        <v/>
      </c>
      <c r="D7" s="79">
        <f>(DCF!D$17*DCF!D$18/(1+D$4)^DCF!D$19+DCF!E$17*DCF!E$18/(1+D$4)^DCF!E$19+DCF!F$17*DCF!F$18/(1+D$4)^DCF!F$19+DCF!G$17*DCF!G$18/(1+D$4)^DCF!G$19+DCF!H$17*DCF!H$18/(1+D$4)^DCF!H$19+DCF!I$17*DCF!I$18/(1+D$4)^DCF!I$19+DCF!J$17*DCF!J$18/(1+D$4)^DCF!J$19+DCF!K$17*DCF!K$18/(1+D$4)^DCF!K$19+DCF!L$17*DCF!L$18/(1+D$4)^DCF!L$19+DCF!M$17*DCF!M$18/(1+D$4)^DCF!M$19+DCF!$M$17*(1+$B7)/(D$4-$B7)/(1+D$4)^DCF!$M$19+DCF!$C$31-DCF!$C$32)/DCF!$C$34</f>
        <v/>
      </c>
      <c r="E7" s="79">
        <f>(DCF!D$17*DCF!D$18/(1+E$4)^DCF!D$19+DCF!E$17*DCF!E$18/(1+E$4)^DCF!E$19+DCF!F$17*DCF!F$18/(1+E$4)^DCF!F$19+DCF!G$17*DCF!G$18/(1+E$4)^DCF!G$19+DCF!H$17*DCF!H$18/(1+E$4)^DCF!H$19+DCF!I$17*DCF!I$18/(1+E$4)^DCF!I$19+DCF!J$17*DCF!J$18/(1+E$4)^DCF!J$19+DCF!K$17*DCF!K$18/(1+E$4)^DCF!K$19+DCF!L$17*DCF!L$18/(1+E$4)^DCF!L$19+DCF!M$17*DCF!M$18/(1+E$4)^DCF!M$19+DCF!$M$17*(1+$B7)/(E$4-$B7)/(1+E$4)^DCF!$M$19+DCF!$C$31-DCF!$C$32)/DCF!$C$34</f>
        <v/>
      </c>
      <c r="F7" s="80">
        <f>(DCF!D$17*DCF!D$18/(1+F$4)^DCF!D$19+DCF!E$17*DCF!E$18/(1+F$4)^DCF!E$19+DCF!F$17*DCF!F$18/(1+F$4)^DCF!F$19+DCF!G$17*DCF!G$18/(1+F$4)^DCF!G$19+DCF!H$17*DCF!H$18/(1+F$4)^DCF!H$19+DCF!I$17*DCF!I$18/(1+F$4)^DCF!I$19+DCF!J$17*DCF!J$18/(1+F$4)^DCF!J$19+DCF!K$17*DCF!K$18/(1+F$4)^DCF!K$19+DCF!L$17*DCF!L$18/(1+F$4)^DCF!L$19+DCF!M$17*DCF!M$18/(1+F$4)^DCF!M$19+DCF!$M$17*(1+$B7)/(F$4-$B7)/(1+F$4)^DCF!$M$19+DCF!$C$31-DCF!$C$32)/DCF!$C$34</f>
        <v/>
      </c>
      <c r="G7" s="79">
        <f>(DCF!D$17*DCF!D$18/(1+G$4)^DCF!D$19+DCF!E$17*DCF!E$18/(1+G$4)^DCF!E$19+DCF!F$17*DCF!F$18/(1+G$4)^DCF!F$19+DCF!G$17*DCF!G$18/(1+G$4)^DCF!G$19+DCF!H$17*DCF!H$18/(1+G$4)^DCF!H$19+DCF!I$17*DCF!I$18/(1+G$4)^DCF!I$19+DCF!J$17*DCF!J$18/(1+G$4)^DCF!J$19+DCF!K$17*DCF!K$18/(1+G$4)^DCF!K$19+DCF!L$17*DCF!L$18/(1+G$4)^DCF!L$19+DCF!M$17*DCF!M$18/(1+G$4)^DCF!M$19+DCF!$M$17*(1+$B7)/(G$4-$B7)/(1+G$4)^DCF!$M$19+DCF!$C$31-DCF!$C$32)/DCF!$C$34</f>
        <v/>
      </c>
      <c r="H7" s="79">
        <f>(DCF!D$17*DCF!D$18/(1+H$4)^DCF!D$19+DCF!E$17*DCF!E$18/(1+H$4)^DCF!E$19+DCF!F$17*DCF!F$18/(1+H$4)^DCF!F$19+DCF!G$17*DCF!G$18/(1+H$4)^DCF!G$19+DCF!H$17*DCF!H$18/(1+H$4)^DCF!H$19+DCF!I$17*DCF!I$18/(1+H$4)^DCF!I$19+DCF!J$17*DCF!J$18/(1+H$4)^DCF!J$19+DCF!K$17*DCF!K$18/(1+H$4)^DCF!K$19+DCF!L$17*DCF!L$18/(1+H$4)^DCF!L$19+DCF!M$17*DCF!M$18/(1+H$4)^DCF!M$19+DCF!$M$17*(1+$B7)/(H$4-$B7)/(1+H$4)^DCF!$M$19+DCF!$C$31-DCF!$C$32)/DCF!$C$34</f>
        <v/>
      </c>
      <c r="I7" s="79">
        <f>(DCF!D$17*DCF!D$18/(1+I$4)^DCF!D$19+DCF!E$17*DCF!E$18/(1+I$4)^DCF!E$19+DCF!F$17*DCF!F$18/(1+I$4)^DCF!F$19+DCF!G$17*DCF!G$18/(1+I$4)^DCF!G$19+DCF!H$17*DCF!H$18/(1+I$4)^DCF!H$19+DCF!I$17*DCF!I$18/(1+I$4)^DCF!I$19+DCF!J$17*DCF!J$18/(1+I$4)^DCF!J$19+DCF!K$17*DCF!K$18/(1+I$4)^DCF!K$19+DCF!L$17*DCF!L$18/(1+I$4)^DCF!L$19+DCF!M$17*DCF!M$18/(1+I$4)^DCF!M$19+DCF!$M$17*(1+$B7)/(I$4-$B7)/(1+I$4)^DCF!$M$19+DCF!$C$31-DCF!$C$32)/DCF!$C$34</f>
        <v/>
      </c>
    </row>
    <row r="8" ht="14" customHeight="1">
      <c r="B8" s="78">
        <f>Assumptions!$C$41+(1)*Assumptions!$C$46</f>
        <v/>
      </c>
      <c r="C8" s="79">
        <f>(DCF!D$17*DCF!D$18/(1+C$4)^DCF!D$19+DCF!E$17*DCF!E$18/(1+C$4)^DCF!E$19+DCF!F$17*DCF!F$18/(1+C$4)^DCF!F$19+DCF!G$17*DCF!G$18/(1+C$4)^DCF!G$19+DCF!H$17*DCF!H$18/(1+C$4)^DCF!H$19+DCF!I$17*DCF!I$18/(1+C$4)^DCF!I$19+DCF!J$17*DCF!J$18/(1+C$4)^DCF!J$19+DCF!K$17*DCF!K$18/(1+C$4)^DCF!K$19+DCF!L$17*DCF!L$18/(1+C$4)^DCF!L$19+DCF!M$17*DCF!M$18/(1+C$4)^DCF!M$19+DCF!$M$17*(1+$B8)/(C$4-$B8)/(1+C$4)^DCF!$M$19+DCF!$C$31-DCF!$C$32)/DCF!$C$34</f>
        <v/>
      </c>
      <c r="D8" s="79">
        <f>(DCF!D$17*DCF!D$18/(1+D$4)^DCF!D$19+DCF!E$17*DCF!E$18/(1+D$4)^DCF!E$19+DCF!F$17*DCF!F$18/(1+D$4)^DCF!F$19+DCF!G$17*DCF!G$18/(1+D$4)^DCF!G$19+DCF!H$17*DCF!H$18/(1+D$4)^DCF!H$19+DCF!I$17*DCF!I$18/(1+D$4)^DCF!I$19+DCF!J$17*DCF!J$18/(1+D$4)^DCF!J$19+DCF!K$17*DCF!K$18/(1+D$4)^DCF!K$19+DCF!L$17*DCF!L$18/(1+D$4)^DCF!L$19+DCF!M$17*DCF!M$18/(1+D$4)^DCF!M$19+DCF!$M$17*(1+$B8)/(D$4-$B8)/(1+D$4)^DCF!$M$19+DCF!$C$31-DCF!$C$32)/DCF!$C$34</f>
        <v/>
      </c>
      <c r="E8" s="79">
        <f>(DCF!D$17*DCF!D$18/(1+E$4)^DCF!D$19+DCF!E$17*DCF!E$18/(1+E$4)^DCF!E$19+DCF!F$17*DCF!F$18/(1+E$4)^DCF!F$19+DCF!G$17*DCF!G$18/(1+E$4)^DCF!G$19+DCF!H$17*DCF!H$18/(1+E$4)^DCF!H$19+DCF!I$17*DCF!I$18/(1+E$4)^DCF!I$19+DCF!J$17*DCF!J$18/(1+E$4)^DCF!J$19+DCF!K$17*DCF!K$18/(1+E$4)^DCF!K$19+DCF!L$17*DCF!L$18/(1+E$4)^DCF!L$19+DCF!M$17*DCF!M$18/(1+E$4)^DCF!M$19+DCF!$M$17*(1+$B8)/(E$4-$B8)/(1+E$4)^DCF!$M$19+DCF!$C$31-DCF!$C$32)/DCF!$C$34</f>
        <v/>
      </c>
      <c r="F8" s="79">
        <f>(DCF!D$17*DCF!D$18/(1+F$4)^DCF!D$19+DCF!E$17*DCF!E$18/(1+F$4)^DCF!E$19+DCF!F$17*DCF!F$18/(1+F$4)^DCF!F$19+DCF!G$17*DCF!G$18/(1+F$4)^DCF!G$19+DCF!H$17*DCF!H$18/(1+F$4)^DCF!H$19+DCF!I$17*DCF!I$18/(1+F$4)^DCF!I$19+DCF!J$17*DCF!J$18/(1+F$4)^DCF!J$19+DCF!K$17*DCF!K$18/(1+F$4)^DCF!K$19+DCF!L$17*DCF!L$18/(1+F$4)^DCF!L$19+DCF!M$17*DCF!M$18/(1+F$4)^DCF!M$19+DCF!$M$17*(1+$B8)/(F$4-$B8)/(1+F$4)^DCF!$M$19+DCF!$C$31-DCF!$C$32)/DCF!$C$34</f>
        <v/>
      </c>
      <c r="G8" s="79">
        <f>(DCF!D$17*DCF!D$18/(1+G$4)^DCF!D$19+DCF!E$17*DCF!E$18/(1+G$4)^DCF!E$19+DCF!F$17*DCF!F$18/(1+G$4)^DCF!F$19+DCF!G$17*DCF!G$18/(1+G$4)^DCF!G$19+DCF!H$17*DCF!H$18/(1+G$4)^DCF!H$19+DCF!I$17*DCF!I$18/(1+G$4)^DCF!I$19+DCF!J$17*DCF!J$18/(1+G$4)^DCF!J$19+DCF!K$17*DCF!K$18/(1+G$4)^DCF!K$19+DCF!L$17*DCF!L$18/(1+G$4)^DCF!L$19+DCF!M$17*DCF!M$18/(1+G$4)^DCF!M$19+DCF!$M$17*(1+$B8)/(G$4-$B8)/(1+G$4)^DCF!$M$19+DCF!$C$31-DCF!$C$32)/DCF!$C$34</f>
        <v/>
      </c>
      <c r="H8" s="79">
        <f>(DCF!D$17*DCF!D$18/(1+H$4)^DCF!D$19+DCF!E$17*DCF!E$18/(1+H$4)^DCF!E$19+DCF!F$17*DCF!F$18/(1+H$4)^DCF!F$19+DCF!G$17*DCF!G$18/(1+H$4)^DCF!G$19+DCF!H$17*DCF!H$18/(1+H$4)^DCF!H$19+DCF!I$17*DCF!I$18/(1+H$4)^DCF!I$19+DCF!J$17*DCF!J$18/(1+H$4)^DCF!J$19+DCF!K$17*DCF!K$18/(1+H$4)^DCF!K$19+DCF!L$17*DCF!L$18/(1+H$4)^DCF!L$19+DCF!M$17*DCF!M$18/(1+H$4)^DCF!M$19+DCF!$M$17*(1+$B8)/(H$4-$B8)/(1+H$4)^DCF!$M$19+DCF!$C$31-DCF!$C$32)/DCF!$C$34</f>
        <v/>
      </c>
      <c r="I8" s="79">
        <f>(DCF!D$17*DCF!D$18/(1+I$4)^DCF!D$19+DCF!E$17*DCF!E$18/(1+I$4)^DCF!E$19+DCF!F$17*DCF!F$18/(1+I$4)^DCF!F$19+DCF!G$17*DCF!G$18/(1+I$4)^DCF!G$19+DCF!H$17*DCF!H$18/(1+I$4)^DCF!H$19+DCF!I$17*DCF!I$18/(1+I$4)^DCF!I$19+DCF!J$17*DCF!J$18/(1+I$4)^DCF!J$19+DCF!K$17*DCF!K$18/(1+I$4)^DCF!K$19+DCF!L$17*DCF!L$18/(1+I$4)^DCF!L$19+DCF!M$17*DCF!M$18/(1+I$4)^DCF!M$19+DCF!$M$17*(1+$B8)/(I$4-$B8)/(1+I$4)^DCF!$M$19+DCF!$C$31-DCF!$C$32)/DCF!$C$34</f>
        <v/>
      </c>
    </row>
    <row r="9" ht="14" customHeight="1">
      <c r="B9" s="78">
        <f>Assumptions!$C$41+(2)*Assumptions!$C$46</f>
        <v/>
      </c>
      <c r="C9" s="79">
        <f>(DCF!D$17*DCF!D$18/(1+C$4)^DCF!D$19+DCF!E$17*DCF!E$18/(1+C$4)^DCF!E$19+DCF!F$17*DCF!F$18/(1+C$4)^DCF!F$19+DCF!G$17*DCF!G$18/(1+C$4)^DCF!G$19+DCF!H$17*DCF!H$18/(1+C$4)^DCF!H$19+DCF!I$17*DCF!I$18/(1+C$4)^DCF!I$19+DCF!J$17*DCF!J$18/(1+C$4)^DCF!J$19+DCF!K$17*DCF!K$18/(1+C$4)^DCF!K$19+DCF!L$17*DCF!L$18/(1+C$4)^DCF!L$19+DCF!M$17*DCF!M$18/(1+C$4)^DCF!M$19+DCF!$M$17*(1+$B9)/(C$4-$B9)/(1+C$4)^DCF!$M$19+DCF!$C$31-DCF!$C$32)/DCF!$C$34</f>
        <v/>
      </c>
      <c r="D9" s="79">
        <f>(DCF!D$17*DCF!D$18/(1+D$4)^DCF!D$19+DCF!E$17*DCF!E$18/(1+D$4)^DCF!E$19+DCF!F$17*DCF!F$18/(1+D$4)^DCF!F$19+DCF!G$17*DCF!G$18/(1+D$4)^DCF!G$19+DCF!H$17*DCF!H$18/(1+D$4)^DCF!H$19+DCF!I$17*DCF!I$18/(1+D$4)^DCF!I$19+DCF!J$17*DCF!J$18/(1+D$4)^DCF!J$19+DCF!K$17*DCF!K$18/(1+D$4)^DCF!K$19+DCF!L$17*DCF!L$18/(1+D$4)^DCF!L$19+DCF!M$17*DCF!M$18/(1+D$4)^DCF!M$19+DCF!$M$17*(1+$B9)/(D$4-$B9)/(1+D$4)^DCF!$M$19+DCF!$C$31-DCF!$C$32)/DCF!$C$34</f>
        <v/>
      </c>
      <c r="E9" s="79">
        <f>(DCF!D$17*DCF!D$18/(1+E$4)^DCF!D$19+DCF!E$17*DCF!E$18/(1+E$4)^DCF!E$19+DCF!F$17*DCF!F$18/(1+E$4)^DCF!F$19+DCF!G$17*DCF!G$18/(1+E$4)^DCF!G$19+DCF!H$17*DCF!H$18/(1+E$4)^DCF!H$19+DCF!I$17*DCF!I$18/(1+E$4)^DCF!I$19+DCF!J$17*DCF!J$18/(1+E$4)^DCF!J$19+DCF!K$17*DCF!K$18/(1+E$4)^DCF!K$19+DCF!L$17*DCF!L$18/(1+E$4)^DCF!L$19+DCF!M$17*DCF!M$18/(1+E$4)^DCF!M$19+DCF!$M$17*(1+$B9)/(E$4-$B9)/(1+E$4)^DCF!$M$19+DCF!$C$31-DCF!$C$32)/DCF!$C$34</f>
        <v/>
      </c>
      <c r="F9" s="79">
        <f>(DCF!D$17*DCF!D$18/(1+F$4)^DCF!D$19+DCF!E$17*DCF!E$18/(1+F$4)^DCF!E$19+DCF!F$17*DCF!F$18/(1+F$4)^DCF!F$19+DCF!G$17*DCF!G$18/(1+F$4)^DCF!G$19+DCF!H$17*DCF!H$18/(1+F$4)^DCF!H$19+DCF!I$17*DCF!I$18/(1+F$4)^DCF!I$19+DCF!J$17*DCF!J$18/(1+F$4)^DCF!J$19+DCF!K$17*DCF!K$18/(1+F$4)^DCF!K$19+DCF!L$17*DCF!L$18/(1+F$4)^DCF!L$19+DCF!M$17*DCF!M$18/(1+F$4)^DCF!M$19+DCF!$M$17*(1+$B9)/(F$4-$B9)/(1+F$4)^DCF!$M$19+DCF!$C$31-DCF!$C$32)/DCF!$C$34</f>
        <v/>
      </c>
      <c r="G9" s="79">
        <f>(DCF!D$17*DCF!D$18/(1+G$4)^DCF!D$19+DCF!E$17*DCF!E$18/(1+G$4)^DCF!E$19+DCF!F$17*DCF!F$18/(1+G$4)^DCF!F$19+DCF!G$17*DCF!G$18/(1+G$4)^DCF!G$19+DCF!H$17*DCF!H$18/(1+G$4)^DCF!H$19+DCF!I$17*DCF!I$18/(1+G$4)^DCF!I$19+DCF!J$17*DCF!J$18/(1+G$4)^DCF!J$19+DCF!K$17*DCF!K$18/(1+G$4)^DCF!K$19+DCF!L$17*DCF!L$18/(1+G$4)^DCF!L$19+DCF!M$17*DCF!M$18/(1+G$4)^DCF!M$19+DCF!$M$17*(1+$B9)/(G$4-$B9)/(1+G$4)^DCF!$M$19+DCF!$C$31-DCF!$C$32)/DCF!$C$34</f>
        <v/>
      </c>
      <c r="H9" s="79">
        <f>(DCF!D$17*DCF!D$18/(1+H$4)^DCF!D$19+DCF!E$17*DCF!E$18/(1+H$4)^DCF!E$19+DCF!F$17*DCF!F$18/(1+H$4)^DCF!F$19+DCF!G$17*DCF!G$18/(1+H$4)^DCF!G$19+DCF!H$17*DCF!H$18/(1+H$4)^DCF!H$19+DCF!I$17*DCF!I$18/(1+H$4)^DCF!I$19+DCF!J$17*DCF!J$18/(1+H$4)^DCF!J$19+DCF!K$17*DCF!K$18/(1+H$4)^DCF!K$19+DCF!L$17*DCF!L$18/(1+H$4)^DCF!L$19+DCF!M$17*DCF!M$18/(1+H$4)^DCF!M$19+DCF!$M$17*(1+$B9)/(H$4-$B9)/(1+H$4)^DCF!$M$19+DCF!$C$31-DCF!$C$32)/DCF!$C$34</f>
        <v/>
      </c>
      <c r="I9" s="79">
        <f>(DCF!D$17*DCF!D$18/(1+I$4)^DCF!D$19+DCF!E$17*DCF!E$18/(1+I$4)^DCF!E$19+DCF!F$17*DCF!F$18/(1+I$4)^DCF!F$19+DCF!G$17*DCF!G$18/(1+I$4)^DCF!G$19+DCF!H$17*DCF!H$18/(1+I$4)^DCF!H$19+DCF!I$17*DCF!I$18/(1+I$4)^DCF!I$19+DCF!J$17*DCF!J$18/(1+I$4)^DCF!J$19+DCF!K$17*DCF!K$18/(1+I$4)^DCF!K$19+DCF!L$17*DCF!L$18/(1+I$4)^DCF!L$19+DCF!M$17*DCF!M$18/(1+I$4)^DCF!M$19+DCF!$M$17*(1+$B9)/(I$4-$B9)/(1+I$4)^DCF!$M$19+DCF!$C$31-DCF!$C$32)/DCF!$C$34</f>
        <v/>
      </c>
    </row>
    <row r="10">
      <c r="B10" s="81" t="inlineStr">
        <is>
          <t>Centre cell = base case (DCF!C35). Axis steps set on Assumptions.</t>
        </is>
      </c>
    </row>
    <row r="12">
      <c r="B12" s="21" t="inlineStr">
        <is>
          <t>TABLE 2 — Bear / Base / Bull  (full re-projection in scenario engine below)</t>
        </is>
      </c>
    </row>
    <row r="13">
      <c r="B13" s="29" t="inlineStr">
        <is>
          <t>Metric</t>
        </is>
      </c>
      <c r="C13" s="82" t="inlineStr">
        <is>
          <t>Bear Case</t>
        </is>
      </c>
      <c r="E13" s="31" t="inlineStr">
        <is>
          <t>Base Case</t>
        </is>
      </c>
      <c r="G13" s="83" t="inlineStr">
        <is>
          <t>Bull Case</t>
        </is>
      </c>
    </row>
    <row r="14" ht="14" customHeight="1">
      <c r="B14" s="84" t="inlineStr">
        <is>
          <t>Revenue CAGR FY2025A–FY2030E</t>
        </is>
      </c>
      <c r="C14" s="85">
        <f>(H52/C52)^(1/5)-1</f>
        <v/>
      </c>
      <c r="E14" s="85">
        <f>(H67/C67)^(1/5)-1</f>
        <v/>
      </c>
      <c r="G14" s="85">
        <f>(H82/C82)^(1/5)-1</f>
        <v/>
      </c>
    </row>
    <row r="15" ht="14" customHeight="1">
      <c r="B15" s="60" t="inlineStr">
        <is>
          <t>FY2030E EBITDA Margin</t>
        </is>
      </c>
      <c r="C15" s="86">
        <f>H53/H52</f>
        <v/>
      </c>
      <c r="E15" s="86">
        <f>H68/H67</f>
        <v/>
      </c>
      <c r="G15" s="86">
        <f>H83/H82</f>
        <v/>
      </c>
    </row>
    <row r="16" ht="14" customHeight="1">
      <c r="B16" s="84" t="inlineStr">
        <is>
          <t>WACC</t>
        </is>
      </c>
      <c r="C16" s="87">
        <f>N59</f>
        <v/>
      </c>
      <c r="E16" s="87">
        <f>N74</f>
        <v/>
      </c>
      <c r="G16" s="87">
        <f>N89</f>
        <v/>
      </c>
    </row>
    <row r="17" ht="14" customHeight="1">
      <c r="B17" s="60" t="inlineStr">
        <is>
          <t>Terminal Growth</t>
        </is>
      </c>
      <c r="C17" s="88">
        <f>N60</f>
        <v/>
      </c>
      <c r="E17" s="88">
        <f>N75</f>
        <v/>
      </c>
      <c r="G17" s="88">
        <f>N90</f>
        <v/>
      </c>
    </row>
    <row r="18" ht="14" customHeight="1">
      <c r="B18" s="42" t="inlineStr">
        <is>
          <t>Value per Share</t>
        </is>
      </c>
      <c r="C18" s="89">
        <f>C61</f>
        <v/>
      </c>
      <c r="E18" s="89">
        <f>C76</f>
        <v/>
      </c>
      <c r="G18" s="89">
        <f>C91</f>
        <v/>
      </c>
    </row>
    <row r="19" ht="14" customHeight="1">
      <c r="B19" s="60" t="inlineStr">
        <is>
          <t>Upside / (Downside) vs Current</t>
        </is>
      </c>
      <c r="C19" s="86">
        <f>C61/Assumptions!$C$29-1</f>
        <v/>
      </c>
      <c r="E19" s="86">
        <f>C76/Assumptions!$C$29-1</f>
        <v/>
      </c>
      <c r="G19" s="86">
        <f>C91/Assumptions!$C$29-1</f>
        <v/>
      </c>
    </row>
    <row r="20">
      <c r="B20" s="81" t="inlineStr">
        <is>
          <t>Check: Base value − DCF!C35 (must be 0)</t>
        </is>
      </c>
      <c r="E20" s="90">
        <f>ROUND(C76-DCF!C35,6)</f>
        <v/>
      </c>
    </row>
    <row r="32">
      <c r="B32" s="21" t="inlineStr">
        <is>
          <t>TABLE 3 — Data Center Growth Scenarios → Probability-Weighted Price Target</t>
        </is>
      </c>
    </row>
    <row r="33">
      <c r="B33" s="16" t="inlineStr">
        <is>
          <t>Scenario</t>
        </is>
      </c>
      <c r="C33" s="53" t="inlineStr">
        <is>
          <t>DC Growth FY27–30E</t>
        </is>
      </c>
      <c r="D33" s="53" t="inlineStr">
        <is>
          <t>DC Rev FY2030E</t>
        </is>
      </c>
      <c r="E33" s="53" t="inlineStr">
        <is>
          <t>Value / Share</t>
        </is>
      </c>
      <c r="F33" s="53" t="inlineStr">
        <is>
          <t>Upside</t>
        </is>
      </c>
      <c r="G33" s="53" t="inlineStr">
        <is>
          <t>Probability</t>
        </is>
      </c>
      <c r="H33" s="53" t="inlineStr">
        <is>
          <t>Weighted</t>
        </is>
      </c>
    </row>
    <row r="34" ht="14" customHeight="1">
      <c r="B34" s="84" t="inlineStr">
        <is>
          <t>Downside</t>
        </is>
      </c>
      <c r="C34" s="85">
        <f>IF(ISNUMBER(Assumptions!F53),Assumptions!F53,(H93/D93)^(1/4)-1)</f>
        <v/>
      </c>
      <c r="D34" s="91">
        <f>H93</f>
        <v/>
      </c>
      <c r="E34" s="92">
        <f>C106</f>
        <v/>
      </c>
      <c r="F34" s="85">
        <f>E34/Assumptions!$C$29-1</f>
        <v/>
      </c>
      <c r="G34" s="93">
        <f>Assumptions!F54</f>
        <v/>
      </c>
      <c r="H34" s="92">
        <f>E34*G34</f>
        <v/>
      </c>
    </row>
    <row r="35" ht="14" customHeight="1">
      <c r="B35" s="56" t="inlineStr">
        <is>
          <t>Base</t>
        </is>
      </c>
      <c r="C35" s="86">
        <f>IF(ISNUMBER(Assumptions!G53),Assumptions!G53,(H108/D108)^(1/4)-1)</f>
        <v/>
      </c>
      <c r="D35" s="94">
        <f>H108</f>
        <v/>
      </c>
      <c r="E35" s="95">
        <f>C121</f>
        <v/>
      </c>
      <c r="F35" s="86">
        <f>E35/Assumptions!$C$29-1</f>
        <v/>
      </c>
      <c r="G35" s="93">
        <f>Assumptions!G54</f>
        <v/>
      </c>
      <c r="H35" s="79">
        <f>E35*G35</f>
        <v/>
      </c>
    </row>
    <row r="36" ht="14" customHeight="1">
      <c r="B36" s="84" t="inlineStr">
        <is>
          <t>Bull</t>
        </is>
      </c>
      <c r="C36" s="85">
        <f>IF(ISNUMBER(Assumptions!H53),Assumptions!H53,(H123/D123)^(1/4)-1)</f>
        <v/>
      </c>
      <c r="D36" s="91">
        <f>H123</f>
        <v/>
      </c>
      <c r="E36" s="92">
        <f>C136</f>
        <v/>
      </c>
      <c r="F36" s="85">
        <f>E36/Assumptions!$C$29-1</f>
        <v/>
      </c>
      <c r="G36" s="93">
        <f>Assumptions!H54</f>
        <v/>
      </c>
      <c r="H36" s="92">
        <f>E36*G36</f>
        <v/>
      </c>
    </row>
    <row r="37" ht="14" customHeight="1">
      <c r="B37" s="60" t="inlineStr">
        <is>
          <t>Super Bull</t>
        </is>
      </c>
      <c r="C37" s="86">
        <f>IF(ISNUMBER(Assumptions!I53),Assumptions!I53,(H138/D138)^(1/4)-1)</f>
        <v/>
      </c>
      <c r="D37" s="94">
        <f>H138</f>
        <v/>
      </c>
      <c r="E37" s="79">
        <f>C151</f>
        <v/>
      </c>
      <c r="F37" s="86">
        <f>E37/Assumptions!$C$29-1</f>
        <v/>
      </c>
      <c r="G37" s="93">
        <f>Assumptions!I54</f>
        <v/>
      </c>
      <c r="H37" s="79">
        <f>E37*G37</f>
        <v/>
      </c>
    </row>
    <row r="40" ht="16" customHeight="1">
      <c r="B40" s="56" t="inlineStr">
        <is>
          <t>Probability-Weighted Value per Share</t>
        </is>
      </c>
      <c r="C40" s="96">
        <f>SUMPRODUCT(E34:E37,G34:G37)/SUM(G34:G37)</f>
        <v/>
      </c>
    </row>
    <row r="41">
      <c r="B41" s="58" t="inlineStr">
        <is>
          <t>Price Target (rounded) → DCF!C39</t>
        </is>
      </c>
      <c r="C41" s="97">
        <f>DCF!C39</f>
        <v/>
      </c>
    </row>
    <row r="42">
      <c r="B42" s="58" t="inlineStr">
        <is>
          <t>Rating → DCF!C41</t>
        </is>
      </c>
      <c r="C42" s="98">
        <f>DCF!C41</f>
        <v/>
      </c>
    </row>
    <row r="46">
      <c r="B46" s="10" t="inlineStr">
        <is>
          <t>SCENARIO ENGINE  — full re-projection per scenario (supporting calculations)</t>
        </is>
      </c>
    </row>
    <row r="47">
      <c r="B47" s="29" t="inlineStr"/>
      <c r="C47" s="30" t="inlineStr">
        <is>
          <t>FY2025A</t>
        </is>
      </c>
      <c r="D47" s="30" t="inlineStr">
        <is>
          <t>FY2026E</t>
        </is>
      </c>
      <c r="E47" s="30" t="inlineStr">
        <is>
          <t>FY2027E</t>
        </is>
      </c>
      <c r="F47" s="30" t="inlineStr">
        <is>
          <t>FY2028E</t>
        </is>
      </c>
      <c r="G47" s="30" t="inlineStr">
        <is>
          <t>FY2029E</t>
        </is>
      </c>
      <c r="H47" s="30" t="inlineStr">
        <is>
          <t>FY2030E</t>
        </is>
      </c>
      <c r="I47" s="30" t="inlineStr">
        <is>
          <t>FY2031E</t>
        </is>
      </c>
      <c r="J47" s="30" t="inlineStr">
        <is>
          <t>FY2032E</t>
        </is>
      </c>
      <c r="K47" s="30" t="inlineStr">
        <is>
          <t>FY2033E</t>
        </is>
      </c>
      <c r="L47" s="30" t="inlineStr">
        <is>
          <t>FY2034E</t>
        </is>
      </c>
      <c r="M47" s="30" t="inlineStr">
        <is>
          <t>FY2035E</t>
        </is>
      </c>
      <c r="N47" s="30" t="inlineStr">
        <is>
          <t>WACC / g</t>
        </is>
      </c>
    </row>
    <row r="48">
      <c r="B48" s="99" t="inlineStr">
        <is>
          <t>Bear · Data Center revenue</t>
        </is>
      </c>
      <c r="C48" s="61">
        <f>Assumptions!$F$11</f>
        <v/>
      </c>
      <c r="D48" s="41">
        <f>C48*(1+Assumptions!G$5)</f>
        <v/>
      </c>
      <c r="E48" s="41">
        <f>D48*(1+IF(ISNUMBER(Assumptions!$C$53),Assumptions!$C$53,(Assumptions!H$5+Assumptions!$C$49)))</f>
        <v/>
      </c>
      <c r="F48" s="41">
        <f>E48*(1+IF(ISNUMBER(Assumptions!$C$53),Assumptions!$C$53,(Assumptions!I$5+Assumptions!$C$49)))</f>
        <v/>
      </c>
      <c r="G48" s="41">
        <f>F48*(1+IF(ISNUMBER(Assumptions!$C$53),Assumptions!$C$53,(Assumptions!J$5+Assumptions!$C$49)))</f>
        <v/>
      </c>
      <c r="H48" s="41">
        <f>G48*(1+IF(ISNUMBER(Assumptions!$C$53),Assumptions!$C$53,(Assumptions!K$5+Assumptions!$C$49)))</f>
        <v/>
      </c>
      <c r="I48" s="41">
        <f>H48*(1+(Assumptions!L$5+Assumptions!$C$49))</f>
        <v/>
      </c>
      <c r="J48" s="41">
        <f>I48*(1+(Assumptions!M$5+Assumptions!$C$49))</f>
        <v/>
      </c>
      <c r="K48" s="41">
        <f>J48*(1+(Assumptions!N$5+Assumptions!$C$49))</f>
        <v/>
      </c>
      <c r="L48" s="41">
        <f>K48*(1+(Assumptions!O$5+Assumptions!$C$49))</f>
        <v/>
      </c>
      <c r="M48" s="41">
        <f>L48*(1+(Assumptions!P$5+Assumptions!$C$49))</f>
        <v/>
      </c>
    </row>
    <row r="49">
      <c r="B49" s="100" t="inlineStr">
        <is>
          <t xml:space="preserve">   Client revenue</t>
        </is>
      </c>
      <c r="C49" s="61">
        <f>Assumptions!$F$12</f>
        <v/>
      </c>
      <c r="D49" s="41">
        <f>C49*(1+Assumptions!G$6)</f>
        <v/>
      </c>
      <c r="E49" s="41">
        <f>D49*(1+(Assumptions!H$6+Assumptions!$C$49))</f>
        <v/>
      </c>
      <c r="F49" s="41">
        <f>E49*(1+(Assumptions!I$6+Assumptions!$C$49))</f>
        <v/>
      </c>
      <c r="G49" s="41">
        <f>F49*(1+(Assumptions!J$6+Assumptions!$C$49))</f>
        <v/>
      </c>
      <c r="H49" s="41">
        <f>G49*(1+(Assumptions!K$6+Assumptions!$C$49))</f>
        <v/>
      </c>
      <c r="I49" s="41">
        <f>H49*(1+(Assumptions!L$6+Assumptions!$C$49))</f>
        <v/>
      </c>
      <c r="J49" s="41">
        <f>I49*(1+(Assumptions!M$6+Assumptions!$C$49))</f>
        <v/>
      </c>
      <c r="K49" s="41">
        <f>J49*(1+(Assumptions!N$6+Assumptions!$C$49))</f>
        <v/>
      </c>
      <c r="L49" s="41">
        <f>K49*(1+(Assumptions!O$6+Assumptions!$C$49))</f>
        <v/>
      </c>
      <c r="M49" s="41">
        <f>L49*(1+(Assumptions!P$6+Assumptions!$C$49))</f>
        <v/>
      </c>
    </row>
    <row r="50">
      <c r="B50" s="100" t="inlineStr">
        <is>
          <t xml:space="preserve">   Gaming revenue</t>
        </is>
      </c>
      <c r="C50" s="61">
        <f>Assumptions!$F$13</f>
        <v/>
      </c>
      <c r="D50" s="41">
        <f>C50*(1+Assumptions!G$7)</f>
        <v/>
      </c>
      <c r="E50" s="41">
        <f>D50*(1+(Assumptions!H$7+Assumptions!$C$49))</f>
        <v/>
      </c>
      <c r="F50" s="41">
        <f>E50*(1+(Assumptions!I$7+Assumptions!$C$49))</f>
        <v/>
      </c>
      <c r="G50" s="41">
        <f>F50*(1+(Assumptions!J$7+Assumptions!$C$49))</f>
        <v/>
      </c>
      <c r="H50" s="41">
        <f>G50*(1+(Assumptions!K$7+Assumptions!$C$49))</f>
        <v/>
      </c>
      <c r="I50" s="41">
        <f>H50*(1+(Assumptions!L$7+Assumptions!$C$49))</f>
        <v/>
      </c>
      <c r="J50" s="41">
        <f>I50*(1+(Assumptions!M$7+Assumptions!$C$49))</f>
        <v/>
      </c>
      <c r="K50" s="41">
        <f>J50*(1+(Assumptions!N$7+Assumptions!$C$49))</f>
        <v/>
      </c>
      <c r="L50" s="41">
        <f>K50*(1+(Assumptions!O$7+Assumptions!$C$49))</f>
        <v/>
      </c>
      <c r="M50" s="41">
        <f>L50*(1+(Assumptions!P$7+Assumptions!$C$49))</f>
        <v/>
      </c>
    </row>
    <row r="51">
      <c r="B51" s="100" t="inlineStr">
        <is>
          <t xml:space="preserve">   Embedded revenue</t>
        </is>
      </c>
      <c r="C51" s="61">
        <f>Assumptions!$F$14</f>
        <v/>
      </c>
      <c r="D51" s="41">
        <f>C51*(1+Assumptions!G$8)</f>
        <v/>
      </c>
      <c r="E51" s="41">
        <f>D51*(1+(Assumptions!H$8+Assumptions!$C$49))</f>
        <v/>
      </c>
      <c r="F51" s="41">
        <f>E51*(1+(Assumptions!I$8+Assumptions!$C$49))</f>
        <v/>
      </c>
      <c r="G51" s="41">
        <f>F51*(1+(Assumptions!J$8+Assumptions!$C$49))</f>
        <v/>
      </c>
      <c r="H51" s="41">
        <f>G51*(1+(Assumptions!K$8+Assumptions!$C$49))</f>
        <v/>
      </c>
      <c r="I51" s="41">
        <f>H51*(1+(Assumptions!L$8+Assumptions!$C$49))</f>
        <v/>
      </c>
      <c r="J51" s="41">
        <f>I51*(1+(Assumptions!M$8+Assumptions!$C$49))</f>
        <v/>
      </c>
      <c r="K51" s="41">
        <f>J51*(1+(Assumptions!N$8+Assumptions!$C$49))</f>
        <v/>
      </c>
      <c r="L51" s="41">
        <f>K51*(1+(Assumptions!O$8+Assumptions!$C$49))</f>
        <v/>
      </c>
      <c r="M51" s="41">
        <f>L51*(1+(Assumptions!P$8+Assumptions!$C$49))</f>
        <v/>
      </c>
    </row>
    <row r="52">
      <c r="B52" s="99" t="inlineStr">
        <is>
          <t xml:space="preserve">   Total revenue</t>
        </is>
      </c>
      <c r="C52" s="59">
        <f>SUM(C48:C51)</f>
        <v/>
      </c>
      <c r="D52" s="59">
        <f>SUM(D48:D51)</f>
        <v/>
      </c>
      <c r="E52" s="59">
        <f>SUM(E48:E51)</f>
        <v/>
      </c>
      <c r="F52" s="59">
        <f>SUM(F48:F51)</f>
        <v/>
      </c>
      <c r="G52" s="59">
        <f>SUM(G48:G51)</f>
        <v/>
      </c>
      <c r="H52" s="59">
        <f>SUM(H48:H51)</f>
        <v/>
      </c>
      <c r="I52" s="59">
        <f>SUM(I48:I51)</f>
        <v/>
      </c>
      <c r="J52" s="59">
        <f>SUM(J48:J51)</f>
        <v/>
      </c>
      <c r="K52" s="59">
        <f>SUM(K48:K51)</f>
        <v/>
      </c>
      <c r="L52" s="59">
        <f>SUM(L48:L51)</f>
        <v/>
      </c>
      <c r="M52" s="59">
        <f>SUM(M48:M51)</f>
        <v/>
      </c>
    </row>
    <row r="53">
      <c r="B53" s="100" t="inlineStr">
        <is>
          <t xml:space="preserve">   EBITDA</t>
        </is>
      </c>
      <c r="D53" s="41">
        <f>D52*(Assumptions!G$19)</f>
        <v/>
      </c>
      <c r="E53" s="41">
        <f>E52*(Assumptions!H$19+Assumptions!$C$50)</f>
        <v/>
      </c>
      <c r="F53" s="41">
        <f>F52*(Assumptions!I$19+Assumptions!$C$50)</f>
        <v/>
      </c>
      <c r="G53" s="41">
        <f>G52*(Assumptions!J$19+Assumptions!$C$50)</f>
        <v/>
      </c>
      <c r="H53" s="41">
        <f>H52*(Assumptions!K$19+Assumptions!$C$50)</f>
        <v/>
      </c>
      <c r="I53" s="41">
        <f>I52*(Assumptions!L$19+Assumptions!$C$50)</f>
        <v/>
      </c>
      <c r="J53" s="41">
        <f>J52*(Assumptions!M$19+Assumptions!$C$50)</f>
        <v/>
      </c>
      <c r="K53" s="41">
        <f>K52*(Assumptions!N$19+Assumptions!$C$50)</f>
        <v/>
      </c>
      <c r="L53" s="41">
        <f>L52*(Assumptions!O$19+Assumptions!$C$50)</f>
        <v/>
      </c>
      <c r="M53" s="41">
        <f>M52*(Assumptions!P$19+Assumptions!$C$50)</f>
        <v/>
      </c>
    </row>
    <row r="54">
      <c r="B54" s="100" t="inlineStr">
        <is>
          <t xml:space="preserve">   D&amp;A</t>
        </is>
      </c>
      <c r="D54" s="41">
        <f>Assumptions!G$20</f>
        <v/>
      </c>
      <c r="E54" s="41">
        <f>Assumptions!H$20</f>
        <v/>
      </c>
      <c r="F54" s="41">
        <f>Assumptions!I$20</f>
        <v/>
      </c>
      <c r="G54" s="41">
        <f>Assumptions!J$20</f>
        <v/>
      </c>
      <c r="H54" s="41">
        <f>Assumptions!K$20</f>
        <v/>
      </c>
      <c r="I54" s="41">
        <f>Assumptions!L$20</f>
        <v/>
      </c>
      <c r="J54" s="41">
        <f>Assumptions!M$20</f>
        <v/>
      </c>
      <c r="K54" s="41">
        <f>Assumptions!N$20</f>
        <v/>
      </c>
      <c r="L54" s="41">
        <f>Assumptions!O$20</f>
        <v/>
      </c>
      <c r="M54" s="41">
        <f>Assumptions!P$20</f>
        <v/>
      </c>
    </row>
    <row r="55">
      <c r="B55" s="100" t="inlineStr">
        <is>
          <t xml:space="preserve">   EBIT</t>
        </is>
      </c>
      <c r="D55" s="41">
        <f>D53-D54</f>
        <v/>
      </c>
      <c r="E55" s="41">
        <f>E53-E54</f>
        <v/>
      </c>
      <c r="F55" s="41">
        <f>F53-F54</f>
        <v/>
      </c>
      <c r="G55" s="41">
        <f>G53-G54</f>
        <v/>
      </c>
      <c r="H55" s="41">
        <f>H53-H54</f>
        <v/>
      </c>
      <c r="I55" s="41">
        <f>I53-I54</f>
        <v/>
      </c>
      <c r="J55" s="41">
        <f>J53-J54</f>
        <v/>
      </c>
      <c r="K55" s="41">
        <f>K53-K54</f>
        <v/>
      </c>
      <c r="L55" s="41">
        <f>L53-L54</f>
        <v/>
      </c>
      <c r="M55" s="41">
        <f>M53-M54</f>
        <v/>
      </c>
    </row>
    <row r="56">
      <c r="B56" s="100" t="inlineStr">
        <is>
          <t xml:space="preserve">   Cash taxes</t>
        </is>
      </c>
      <c r="D56" s="41">
        <f>-MAX(0,D55)*Assumptions!G$21</f>
        <v/>
      </c>
      <c r="E56" s="41">
        <f>-MAX(0,E55)*Assumptions!H$21</f>
        <v/>
      </c>
      <c r="F56" s="41">
        <f>-MAX(0,F55)*Assumptions!I$21</f>
        <v/>
      </c>
      <c r="G56" s="41">
        <f>-MAX(0,G55)*Assumptions!J$21</f>
        <v/>
      </c>
      <c r="H56" s="41">
        <f>-MAX(0,H55)*Assumptions!K$21</f>
        <v/>
      </c>
      <c r="I56" s="41">
        <f>-MAX(0,I55)*Assumptions!L$21</f>
        <v/>
      </c>
      <c r="J56" s="41">
        <f>-MAX(0,J55)*Assumptions!M$21</f>
        <v/>
      </c>
      <c r="K56" s="41">
        <f>-MAX(0,K55)*Assumptions!N$21</f>
        <v/>
      </c>
      <c r="L56" s="41">
        <f>-MAX(0,L55)*Assumptions!O$21</f>
        <v/>
      </c>
      <c r="M56" s="41">
        <f>-MAX(0,M55)*Assumptions!P$21</f>
        <v/>
      </c>
    </row>
    <row r="57">
      <c r="B57" s="100" t="inlineStr">
        <is>
          <t xml:space="preserve">   Capex</t>
        </is>
      </c>
      <c r="D57" s="41">
        <f>-Assumptions!G$22</f>
        <v/>
      </c>
      <c r="E57" s="41">
        <f>-Assumptions!H$22</f>
        <v/>
      </c>
      <c r="F57" s="41">
        <f>-Assumptions!I$22</f>
        <v/>
      </c>
      <c r="G57" s="41">
        <f>-Assumptions!J$22</f>
        <v/>
      </c>
      <c r="H57" s="41">
        <f>-Assumptions!K$22</f>
        <v/>
      </c>
      <c r="I57" s="41">
        <f>-Assumptions!L$22</f>
        <v/>
      </c>
      <c r="J57" s="41">
        <f>-Assumptions!M$22</f>
        <v/>
      </c>
      <c r="K57" s="41">
        <f>-Assumptions!N$22</f>
        <v/>
      </c>
      <c r="L57" s="41">
        <f>-Assumptions!O$22</f>
        <v/>
      </c>
      <c r="M57" s="41">
        <f>-Assumptions!P$22</f>
        <v/>
      </c>
    </row>
    <row r="58">
      <c r="B58" s="100" t="inlineStr">
        <is>
          <t xml:space="preserve">   Δ Working capital</t>
        </is>
      </c>
      <c r="D58" s="41">
        <f>-(D52-C52)*Assumptions!G$23</f>
        <v/>
      </c>
      <c r="E58" s="41">
        <f>-(E52-D52)*Assumptions!H$23</f>
        <v/>
      </c>
      <c r="F58" s="41">
        <f>-(F52-E52)*Assumptions!I$23</f>
        <v/>
      </c>
      <c r="G58" s="41">
        <f>-(G52-F52)*Assumptions!J$23</f>
        <v/>
      </c>
      <c r="H58" s="41">
        <f>-(H52-G52)*Assumptions!K$23</f>
        <v/>
      </c>
      <c r="I58" s="41">
        <f>-(I52-H52)*Assumptions!L$23</f>
        <v/>
      </c>
      <c r="J58" s="41">
        <f>-(J52-I52)*Assumptions!M$23</f>
        <v/>
      </c>
      <c r="K58" s="41">
        <f>-(K52-J52)*Assumptions!N$23</f>
        <v/>
      </c>
      <c r="L58" s="41">
        <f>-(L52-K52)*Assumptions!O$23</f>
        <v/>
      </c>
      <c r="M58" s="41">
        <f>-(M52-L52)*Assumptions!P$23</f>
        <v/>
      </c>
    </row>
    <row r="59">
      <c r="B59" s="99" t="inlineStr">
        <is>
          <t xml:space="preserve">   Unlevered FCF</t>
        </is>
      </c>
      <c r="D59" s="59">
        <f>D55+D56+D54+D57+D58</f>
        <v/>
      </c>
      <c r="E59" s="59">
        <f>E55+E56+E54+E57+E58</f>
        <v/>
      </c>
      <c r="F59" s="59">
        <f>F55+F56+F54+F57+F58</f>
        <v/>
      </c>
      <c r="G59" s="59">
        <f>G55+G56+G54+G57+G58</f>
        <v/>
      </c>
      <c r="H59" s="59">
        <f>H55+H56+H54+H57+H58</f>
        <v/>
      </c>
      <c r="I59" s="59">
        <f>I55+I56+I54+I57+I58</f>
        <v/>
      </c>
      <c r="J59" s="59">
        <f>J55+J56+J54+J57+J58</f>
        <v/>
      </c>
      <c r="K59" s="59">
        <f>K55+K56+K54+K57+K58</f>
        <v/>
      </c>
      <c r="L59" s="59">
        <f>L55+L56+L54+L57+L58</f>
        <v/>
      </c>
      <c r="M59" s="59">
        <f>M55+M56+M54+M57+M58</f>
        <v/>
      </c>
      <c r="N59" s="51">
        <f>DCF!$C$14+Assumptions!$C$51</f>
        <v/>
      </c>
    </row>
    <row r="60">
      <c r="B60" s="100" t="inlineStr">
        <is>
          <t xml:space="preserve">   PV of FCF (stub &amp; mid-year)</t>
        </is>
      </c>
      <c r="D60" s="41">
        <f>D59*DCF!D$18/(1+$N$59)^DCF!D$19</f>
        <v/>
      </c>
      <c r="E60" s="41">
        <f>E59*DCF!E$18/(1+$N$59)^DCF!E$19</f>
        <v/>
      </c>
      <c r="F60" s="41">
        <f>F59*DCF!F$18/(1+$N$59)^DCF!F$19</f>
        <v/>
      </c>
      <c r="G60" s="41">
        <f>G59*DCF!G$18/(1+$N$59)^DCF!G$19</f>
        <v/>
      </c>
      <c r="H60" s="41">
        <f>H59*DCF!H$18/(1+$N$59)^DCF!H$19</f>
        <v/>
      </c>
      <c r="I60" s="41">
        <f>I59*DCF!I$18/(1+$N$59)^DCF!I$19</f>
        <v/>
      </c>
      <c r="J60" s="41">
        <f>J59*DCF!J$18/(1+$N$59)^DCF!J$19</f>
        <v/>
      </c>
      <c r="K60" s="41">
        <f>K59*DCF!K$18/(1+$N$59)^DCF!K$19</f>
        <v/>
      </c>
      <c r="L60" s="41">
        <f>L59*DCF!L$18/(1+$N$59)^DCF!L$19</f>
        <v/>
      </c>
      <c r="M60" s="41">
        <f>M59*DCF!M$18/(1+$N$59)^DCF!M$19</f>
        <v/>
      </c>
      <c r="N60" s="51">
        <f>Assumptions!$C$52</f>
        <v/>
      </c>
    </row>
    <row r="61">
      <c r="B61" s="99" t="inlineStr">
        <is>
          <t xml:space="preserve">   Bear value per share</t>
        </is>
      </c>
      <c r="C61" s="71">
        <f>(SUM(D60:M60)+M59*(1+$N$60)/($N$59-$N$60)/(1+$N$59)^DCF!$M$19+DCF!$C$31-DCF!$C$32)/DCF!$C$34</f>
        <v/>
      </c>
    </row>
    <row r="63">
      <c r="B63" s="99" t="inlineStr">
        <is>
          <t>Base · Data Center revenue</t>
        </is>
      </c>
      <c r="C63" s="61">
        <f>Assumptions!$F$11</f>
        <v/>
      </c>
      <c r="D63" s="41">
        <f>C63*(1+Assumptions!G$5)</f>
        <v/>
      </c>
      <c r="E63" s="41">
        <f>D63*(1+IF(ISNUMBER(Assumptions!$D$53),Assumptions!$D$53,(Assumptions!H$5+Assumptions!$D$49)))</f>
        <v/>
      </c>
      <c r="F63" s="41">
        <f>E63*(1+IF(ISNUMBER(Assumptions!$D$53),Assumptions!$D$53,(Assumptions!I$5+Assumptions!$D$49)))</f>
        <v/>
      </c>
      <c r="G63" s="41">
        <f>F63*(1+IF(ISNUMBER(Assumptions!$D$53),Assumptions!$D$53,(Assumptions!J$5+Assumptions!$D$49)))</f>
        <v/>
      </c>
      <c r="H63" s="41">
        <f>G63*(1+IF(ISNUMBER(Assumptions!$D$53),Assumptions!$D$53,(Assumptions!K$5+Assumptions!$D$49)))</f>
        <v/>
      </c>
      <c r="I63" s="41">
        <f>H63*(1+(Assumptions!L$5+Assumptions!$D$49))</f>
        <v/>
      </c>
      <c r="J63" s="41">
        <f>I63*(1+(Assumptions!M$5+Assumptions!$D$49))</f>
        <v/>
      </c>
      <c r="K63" s="41">
        <f>J63*(1+(Assumptions!N$5+Assumptions!$D$49))</f>
        <v/>
      </c>
      <c r="L63" s="41">
        <f>K63*(1+(Assumptions!O$5+Assumptions!$D$49))</f>
        <v/>
      </c>
      <c r="M63" s="41">
        <f>L63*(1+(Assumptions!P$5+Assumptions!$D$49))</f>
        <v/>
      </c>
    </row>
    <row r="64">
      <c r="B64" s="100" t="inlineStr">
        <is>
          <t xml:space="preserve">   Client revenue</t>
        </is>
      </c>
      <c r="C64" s="61">
        <f>Assumptions!$F$12</f>
        <v/>
      </c>
      <c r="D64" s="41">
        <f>C64*(1+Assumptions!G$6)</f>
        <v/>
      </c>
      <c r="E64" s="41">
        <f>D64*(1+(Assumptions!H$6+Assumptions!$D$49))</f>
        <v/>
      </c>
      <c r="F64" s="41">
        <f>E64*(1+(Assumptions!I$6+Assumptions!$D$49))</f>
        <v/>
      </c>
      <c r="G64" s="41">
        <f>F64*(1+(Assumptions!J$6+Assumptions!$D$49))</f>
        <v/>
      </c>
      <c r="H64" s="41">
        <f>G64*(1+(Assumptions!K$6+Assumptions!$D$49))</f>
        <v/>
      </c>
      <c r="I64" s="41">
        <f>H64*(1+(Assumptions!L$6+Assumptions!$D$49))</f>
        <v/>
      </c>
      <c r="J64" s="41">
        <f>I64*(1+(Assumptions!M$6+Assumptions!$D$49))</f>
        <v/>
      </c>
      <c r="K64" s="41">
        <f>J64*(1+(Assumptions!N$6+Assumptions!$D$49))</f>
        <v/>
      </c>
      <c r="L64" s="41">
        <f>K64*(1+(Assumptions!O$6+Assumptions!$D$49))</f>
        <v/>
      </c>
      <c r="M64" s="41">
        <f>L64*(1+(Assumptions!P$6+Assumptions!$D$49))</f>
        <v/>
      </c>
    </row>
    <row r="65">
      <c r="B65" s="100" t="inlineStr">
        <is>
          <t xml:space="preserve">   Gaming revenue</t>
        </is>
      </c>
      <c r="C65" s="61">
        <f>Assumptions!$F$13</f>
        <v/>
      </c>
      <c r="D65" s="41">
        <f>C65*(1+Assumptions!G$7)</f>
        <v/>
      </c>
      <c r="E65" s="41">
        <f>D65*(1+(Assumptions!H$7+Assumptions!$D$49))</f>
        <v/>
      </c>
      <c r="F65" s="41">
        <f>E65*(1+(Assumptions!I$7+Assumptions!$D$49))</f>
        <v/>
      </c>
      <c r="G65" s="41">
        <f>F65*(1+(Assumptions!J$7+Assumptions!$D$49))</f>
        <v/>
      </c>
      <c r="H65" s="41">
        <f>G65*(1+(Assumptions!K$7+Assumptions!$D$49))</f>
        <v/>
      </c>
      <c r="I65" s="41">
        <f>H65*(1+(Assumptions!L$7+Assumptions!$D$49))</f>
        <v/>
      </c>
      <c r="J65" s="41">
        <f>I65*(1+(Assumptions!M$7+Assumptions!$D$49))</f>
        <v/>
      </c>
      <c r="K65" s="41">
        <f>J65*(1+(Assumptions!N$7+Assumptions!$D$49))</f>
        <v/>
      </c>
      <c r="L65" s="41">
        <f>K65*(1+(Assumptions!O$7+Assumptions!$D$49))</f>
        <v/>
      </c>
      <c r="M65" s="41">
        <f>L65*(1+(Assumptions!P$7+Assumptions!$D$49))</f>
        <v/>
      </c>
    </row>
    <row r="66">
      <c r="B66" s="100" t="inlineStr">
        <is>
          <t xml:space="preserve">   Embedded revenue</t>
        </is>
      </c>
      <c r="C66" s="61">
        <f>Assumptions!$F$14</f>
        <v/>
      </c>
      <c r="D66" s="41">
        <f>C66*(1+Assumptions!G$8)</f>
        <v/>
      </c>
      <c r="E66" s="41">
        <f>D66*(1+(Assumptions!H$8+Assumptions!$D$49))</f>
        <v/>
      </c>
      <c r="F66" s="41">
        <f>E66*(1+(Assumptions!I$8+Assumptions!$D$49))</f>
        <v/>
      </c>
      <c r="G66" s="41">
        <f>F66*(1+(Assumptions!J$8+Assumptions!$D$49))</f>
        <v/>
      </c>
      <c r="H66" s="41">
        <f>G66*(1+(Assumptions!K$8+Assumptions!$D$49))</f>
        <v/>
      </c>
      <c r="I66" s="41">
        <f>H66*(1+(Assumptions!L$8+Assumptions!$D$49))</f>
        <v/>
      </c>
      <c r="J66" s="41">
        <f>I66*(1+(Assumptions!M$8+Assumptions!$D$49))</f>
        <v/>
      </c>
      <c r="K66" s="41">
        <f>J66*(1+(Assumptions!N$8+Assumptions!$D$49))</f>
        <v/>
      </c>
      <c r="L66" s="41">
        <f>K66*(1+(Assumptions!O$8+Assumptions!$D$49))</f>
        <v/>
      </c>
      <c r="M66" s="41">
        <f>L66*(1+(Assumptions!P$8+Assumptions!$D$49))</f>
        <v/>
      </c>
    </row>
    <row r="67">
      <c r="B67" s="99" t="inlineStr">
        <is>
          <t xml:space="preserve">   Total revenue</t>
        </is>
      </c>
      <c r="C67" s="59">
        <f>SUM(C63:C66)</f>
        <v/>
      </c>
      <c r="D67" s="59">
        <f>SUM(D63:D66)</f>
        <v/>
      </c>
      <c r="E67" s="59">
        <f>SUM(E63:E66)</f>
        <v/>
      </c>
      <c r="F67" s="59">
        <f>SUM(F63:F66)</f>
        <v/>
      </c>
      <c r="G67" s="59">
        <f>SUM(G63:G66)</f>
        <v/>
      </c>
      <c r="H67" s="59">
        <f>SUM(H63:H66)</f>
        <v/>
      </c>
      <c r="I67" s="59">
        <f>SUM(I63:I66)</f>
        <v/>
      </c>
      <c r="J67" s="59">
        <f>SUM(J63:J66)</f>
        <v/>
      </c>
      <c r="K67" s="59">
        <f>SUM(K63:K66)</f>
        <v/>
      </c>
      <c r="L67" s="59">
        <f>SUM(L63:L66)</f>
        <v/>
      </c>
      <c r="M67" s="59">
        <f>SUM(M63:M66)</f>
        <v/>
      </c>
    </row>
    <row r="68">
      <c r="B68" s="100" t="inlineStr">
        <is>
          <t xml:space="preserve">   EBITDA</t>
        </is>
      </c>
      <c r="D68" s="41">
        <f>D67*(Assumptions!G$19)</f>
        <v/>
      </c>
      <c r="E68" s="41">
        <f>E67*(Assumptions!H$19+Assumptions!$D$50)</f>
        <v/>
      </c>
      <c r="F68" s="41">
        <f>F67*(Assumptions!I$19+Assumptions!$D$50)</f>
        <v/>
      </c>
      <c r="G68" s="41">
        <f>G67*(Assumptions!J$19+Assumptions!$D$50)</f>
        <v/>
      </c>
      <c r="H68" s="41">
        <f>H67*(Assumptions!K$19+Assumptions!$D$50)</f>
        <v/>
      </c>
      <c r="I68" s="41">
        <f>I67*(Assumptions!L$19+Assumptions!$D$50)</f>
        <v/>
      </c>
      <c r="J68" s="41">
        <f>J67*(Assumptions!M$19+Assumptions!$D$50)</f>
        <v/>
      </c>
      <c r="K68" s="41">
        <f>K67*(Assumptions!N$19+Assumptions!$D$50)</f>
        <v/>
      </c>
      <c r="L68" s="41">
        <f>L67*(Assumptions!O$19+Assumptions!$D$50)</f>
        <v/>
      </c>
      <c r="M68" s="41">
        <f>M67*(Assumptions!P$19+Assumptions!$D$50)</f>
        <v/>
      </c>
    </row>
    <row r="69">
      <c r="B69" s="100" t="inlineStr">
        <is>
          <t xml:space="preserve">   D&amp;A</t>
        </is>
      </c>
      <c r="D69" s="41">
        <f>Assumptions!G$20</f>
        <v/>
      </c>
      <c r="E69" s="41">
        <f>Assumptions!H$20</f>
        <v/>
      </c>
      <c r="F69" s="41">
        <f>Assumptions!I$20</f>
        <v/>
      </c>
      <c r="G69" s="41">
        <f>Assumptions!J$20</f>
        <v/>
      </c>
      <c r="H69" s="41">
        <f>Assumptions!K$20</f>
        <v/>
      </c>
      <c r="I69" s="41">
        <f>Assumptions!L$20</f>
        <v/>
      </c>
      <c r="J69" s="41">
        <f>Assumptions!M$20</f>
        <v/>
      </c>
      <c r="K69" s="41">
        <f>Assumptions!N$20</f>
        <v/>
      </c>
      <c r="L69" s="41">
        <f>Assumptions!O$20</f>
        <v/>
      </c>
      <c r="M69" s="41">
        <f>Assumptions!P$20</f>
        <v/>
      </c>
    </row>
    <row r="70">
      <c r="B70" s="100" t="inlineStr">
        <is>
          <t xml:space="preserve">   EBIT</t>
        </is>
      </c>
      <c r="D70" s="41">
        <f>D68-D69</f>
        <v/>
      </c>
      <c r="E70" s="41">
        <f>E68-E69</f>
        <v/>
      </c>
      <c r="F70" s="41">
        <f>F68-F69</f>
        <v/>
      </c>
      <c r="G70" s="41">
        <f>G68-G69</f>
        <v/>
      </c>
      <c r="H70" s="41">
        <f>H68-H69</f>
        <v/>
      </c>
      <c r="I70" s="41">
        <f>I68-I69</f>
        <v/>
      </c>
      <c r="J70" s="41">
        <f>J68-J69</f>
        <v/>
      </c>
      <c r="K70" s="41">
        <f>K68-K69</f>
        <v/>
      </c>
      <c r="L70" s="41">
        <f>L68-L69</f>
        <v/>
      </c>
      <c r="M70" s="41">
        <f>M68-M69</f>
        <v/>
      </c>
    </row>
    <row r="71">
      <c r="B71" s="100" t="inlineStr">
        <is>
          <t xml:space="preserve">   Cash taxes</t>
        </is>
      </c>
      <c r="D71" s="41">
        <f>-MAX(0,D70)*Assumptions!G$21</f>
        <v/>
      </c>
      <c r="E71" s="41">
        <f>-MAX(0,E70)*Assumptions!H$21</f>
        <v/>
      </c>
      <c r="F71" s="41">
        <f>-MAX(0,F70)*Assumptions!I$21</f>
        <v/>
      </c>
      <c r="G71" s="41">
        <f>-MAX(0,G70)*Assumptions!J$21</f>
        <v/>
      </c>
      <c r="H71" s="41">
        <f>-MAX(0,H70)*Assumptions!K$21</f>
        <v/>
      </c>
      <c r="I71" s="41">
        <f>-MAX(0,I70)*Assumptions!L$21</f>
        <v/>
      </c>
      <c r="J71" s="41">
        <f>-MAX(0,J70)*Assumptions!M$21</f>
        <v/>
      </c>
      <c r="K71" s="41">
        <f>-MAX(0,K70)*Assumptions!N$21</f>
        <v/>
      </c>
      <c r="L71" s="41">
        <f>-MAX(0,L70)*Assumptions!O$21</f>
        <v/>
      </c>
      <c r="M71" s="41">
        <f>-MAX(0,M70)*Assumptions!P$21</f>
        <v/>
      </c>
    </row>
    <row r="72">
      <c r="B72" s="100" t="inlineStr">
        <is>
          <t xml:space="preserve">   Capex</t>
        </is>
      </c>
      <c r="D72" s="41">
        <f>-Assumptions!G$22</f>
        <v/>
      </c>
      <c r="E72" s="41">
        <f>-Assumptions!H$22</f>
        <v/>
      </c>
      <c r="F72" s="41">
        <f>-Assumptions!I$22</f>
        <v/>
      </c>
      <c r="G72" s="41">
        <f>-Assumptions!J$22</f>
        <v/>
      </c>
      <c r="H72" s="41">
        <f>-Assumptions!K$22</f>
        <v/>
      </c>
      <c r="I72" s="41">
        <f>-Assumptions!L$22</f>
        <v/>
      </c>
      <c r="J72" s="41">
        <f>-Assumptions!M$22</f>
        <v/>
      </c>
      <c r="K72" s="41">
        <f>-Assumptions!N$22</f>
        <v/>
      </c>
      <c r="L72" s="41">
        <f>-Assumptions!O$22</f>
        <v/>
      </c>
      <c r="M72" s="41">
        <f>-Assumptions!P$22</f>
        <v/>
      </c>
    </row>
    <row r="73">
      <c r="B73" s="100" t="inlineStr">
        <is>
          <t xml:space="preserve">   Δ Working capital</t>
        </is>
      </c>
      <c r="D73" s="41">
        <f>-(D67-C67)*Assumptions!G$23</f>
        <v/>
      </c>
      <c r="E73" s="41">
        <f>-(E67-D67)*Assumptions!H$23</f>
        <v/>
      </c>
      <c r="F73" s="41">
        <f>-(F67-E67)*Assumptions!I$23</f>
        <v/>
      </c>
      <c r="G73" s="41">
        <f>-(G67-F67)*Assumptions!J$23</f>
        <v/>
      </c>
      <c r="H73" s="41">
        <f>-(H67-G67)*Assumptions!K$23</f>
        <v/>
      </c>
      <c r="I73" s="41">
        <f>-(I67-H67)*Assumptions!L$23</f>
        <v/>
      </c>
      <c r="J73" s="41">
        <f>-(J67-I67)*Assumptions!M$23</f>
        <v/>
      </c>
      <c r="K73" s="41">
        <f>-(K67-J67)*Assumptions!N$23</f>
        <v/>
      </c>
      <c r="L73" s="41">
        <f>-(L67-K67)*Assumptions!O$23</f>
        <v/>
      </c>
      <c r="M73" s="41">
        <f>-(M67-L67)*Assumptions!P$23</f>
        <v/>
      </c>
    </row>
    <row r="74">
      <c r="B74" s="99" t="inlineStr">
        <is>
          <t xml:space="preserve">   Unlevered FCF</t>
        </is>
      </c>
      <c r="D74" s="59">
        <f>D70+D71+D69+D72+D73</f>
        <v/>
      </c>
      <c r="E74" s="59">
        <f>E70+E71+E69+E72+E73</f>
        <v/>
      </c>
      <c r="F74" s="59">
        <f>F70+F71+F69+F72+F73</f>
        <v/>
      </c>
      <c r="G74" s="59">
        <f>G70+G71+G69+G72+G73</f>
        <v/>
      </c>
      <c r="H74" s="59">
        <f>H70+H71+H69+H72+H73</f>
        <v/>
      </c>
      <c r="I74" s="59">
        <f>I70+I71+I69+I72+I73</f>
        <v/>
      </c>
      <c r="J74" s="59">
        <f>J70+J71+J69+J72+J73</f>
        <v/>
      </c>
      <c r="K74" s="59">
        <f>K70+K71+K69+K72+K73</f>
        <v/>
      </c>
      <c r="L74" s="59">
        <f>L70+L71+L69+L72+L73</f>
        <v/>
      </c>
      <c r="M74" s="59">
        <f>M70+M71+M69+M72+M73</f>
        <v/>
      </c>
      <c r="N74" s="51">
        <f>DCF!$C$14+Assumptions!$D$51</f>
        <v/>
      </c>
    </row>
    <row r="75">
      <c r="B75" s="100" t="inlineStr">
        <is>
          <t xml:space="preserve">   PV of FCF (stub &amp; mid-year)</t>
        </is>
      </c>
      <c r="D75" s="41">
        <f>D74*DCF!D$18/(1+$N$74)^DCF!D$19</f>
        <v/>
      </c>
      <c r="E75" s="41">
        <f>E74*DCF!E$18/(1+$N$74)^DCF!E$19</f>
        <v/>
      </c>
      <c r="F75" s="41">
        <f>F74*DCF!F$18/(1+$N$74)^DCF!F$19</f>
        <v/>
      </c>
      <c r="G75" s="41">
        <f>G74*DCF!G$18/(1+$N$74)^DCF!G$19</f>
        <v/>
      </c>
      <c r="H75" s="41">
        <f>H74*DCF!H$18/(1+$N$74)^DCF!H$19</f>
        <v/>
      </c>
      <c r="I75" s="41">
        <f>I74*DCF!I$18/(1+$N$74)^DCF!I$19</f>
        <v/>
      </c>
      <c r="J75" s="41">
        <f>J74*DCF!J$18/(1+$N$74)^DCF!J$19</f>
        <v/>
      </c>
      <c r="K75" s="41">
        <f>K74*DCF!K$18/(1+$N$74)^DCF!K$19</f>
        <v/>
      </c>
      <c r="L75" s="41">
        <f>L74*DCF!L$18/(1+$N$74)^DCF!L$19</f>
        <v/>
      </c>
      <c r="M75" s="41">
        <f>M74*DCF!M$18/(1+$N$74)^DCF!M$19</f>
        <v/>
      </c>
      <c r="N75" s="51">
        <f>Assumptions!$D$52</f>
        <v/>
      </c>
    </row>
    <row r="76">
      <c r="B76" s="99" t="inlineStr">
        <is>
          <t xml:space="preserve">   Base value per share</t>
        </is>
      </c>
      <c r="C76" s="71">
        <f>(SUM(D75:M75)+M74*(1+$N$75)/($N$74-$N$75)/(1+$N$74)^DCF!$M$19+DCF!$C$31-DCF!$C$32)/DCF!$C$34</f>
        <v/>
      </c>
    </row>
    <row r="78">
      <c r="B78" s="99" t="inlineStr">
        <is>
          <t>Bull · Data Center revenue</t>
        </is>
      </c>
      <c r="C78" s="61">
        <f>Assumptions!$F$11</f>
        <v/>
      </c>
      <c r="D78" s="41">
        <f>C78*(1+Assumptions!G$5)</f>
        <v/>
      </c>
      <c r="E78" s="41">
        <f>D78*(1+IF(ISNUMBER(Assumptions!$E$53),Assumptions!$E$53,(Assumptions!H$5+Assumptions!$E$49)))</f>
        <v/>
      </c>
      <c r="F78" s="41">
        <f>E78*(1+IF(ISNUMBER(Assumptions!$E$53),Assumptions!$E$53,(Assumptions!I$5+Assumptions!$E$49)))</f>
        <v/>
      </c>
      <c r="G78" s="41">
        <f>F78*(1+IF(ISNUMBER(Assumptions!$E$53),Assumptions!$E$53,(Assumptions!J$5+Assumptions!$E$49)))</f>
        <v/>
      </c>
      <c r="H78" s="41">
        <f>G78*(1+IF(ISNUMBER(Assumptions!$E$53),Assumptions!$E$53,(Assumptions!K$5+Assumptions!$E$49)))</f>
        <v/>
      </c>
      <c r="I78" s="41">
        <f>H78*(1+(Assumptions!L$5+Assumptions!$E$49))</f>
        <v/>
      </c>
      <c r="J78" s="41">
        <f>I78*(1+(Assumptions!M$5+Assumptions!$E$49))</f>
        <v/>
      </c>
      <c r="K78" s="41">
        <f>J78*(1+(Assumptions!N$5+Assumptions!$E$49))</f>
        <v/>
      </c>
      <c r="L78" s="41">
        <f>K78*(1+(Assumptions!O$5+Assumptions!$E$49))</f>
        <v/>
      </c>
      <c r="M78" s="41">
        <f>L78*(1+(Assumptions!P$5+Assumptions!$E$49))</f>
        <v/>
      </c>
    </row>
    <row r="79">
      <c r="B79" s="100" t="inlineStr">
        <is>
          <t xml:space="preserve">   Client revenue</t>
        </is>
      </c>
      <c r="C79" s="61">
        <f>Assumptions!$F$12</f>
        <v/>
      </c>
      <c r="D79" s="41">
        <f>C79*(1+Assumptions!G$6)</f>
        <v/>
      </c>
      <c r="E79" s="41">
        <f>D79*(1+(Assumptions!H$6+Assumptions!$E$49))</f>
        <v/>
      </c>
      <c r="F79" s="41">
        <f>E79*(1+(Assumptions!I$6+Assumptions!$E$49))</f>
        <v/>
      </c>
      <c r="G79" s="41">
        <f>F79*(1+(Assumptions!J$6+Assumptions!$E$49))</f>
        <v/>
      </c>
      <c r="H79" s="41">
        <f>G79*(1+(Assumptions!K$6+Assumptions!$E$49))</f>
        <v/>
      </c>
      <c r="I79" s="41">
        <f>H79*(1+(Assumptions!L$6+Assumptions!$E$49))</f>
        <v/>
      </c>
      <c r="J79" s="41">
        <f>I79*(1+(Assumptions!M$6+Assumptions!$E$49))</f>
        <v/>
      </c>
      <c r="K79" s="41">
        <f>J79*(1+(Assumptions!N$6+Assumptions!$E$49))</f>
        <v/>
      </c>
      <c r="L79" s="41">
        <f>K79*(1+(Assumptions!O$6+Assumptions!$E$49))</f>
        <v/>
      </c>
      <c r="M79" s="41">
        <f>L79*(1+(Assumptions!P$6+Assumptions!$E$49))</f>
        <v/>
      </c>
    </row>
    <row r="80">
      <c r="B80" s="100" t="inlineStr">
        <is>
          <t xml:space="preserve">   Gaming revenue</t>
        </is>
      </c>
      <c r="C80" s="61">
        <f>Assumptions!$F$13</f>
        <v/>
      </c>
      <c r="D80" s="41">
        <f>C80*(1+Assumptions!G$7)</f>
        <v/>
      </c>
      <c r="E80" s="41">
        <f>D80*(1+(Assumptions!H$7+Assumptions!$E$49))</f>
        <v/>
      </c>
      <c r="F80" s="41">
        <f>E80*(1+(Assumptions!I$7+Assumptions!$E$49))</f>
        <v/>
      </c>
      <c r="G80" s="41">
        <f>F80*(1+(Assumptions!J$7+Assumptions!$E$49))</f>
        <v/>
      </c>
      <c r="H80" s="41">
        <f>G80*(1+(Assumptions!K$7+Assumptions!$E$49))</f>
        <v/>
      </c>
      <c r="I80" s="41">
        <f>H80*(1+(Assumptions!L$7+Assumptions!$E$49))</f>
        <v/>
      </c>
      <c r="J80" s="41">
        <f>I80*(1+(Assumptions!M$7+Assumptions!$E$49))</f>
        <v/>
      </c>
      <c r="K80" s="41">
        <f>J80*(1+(Assumptions!N$7+Assumptions!$E$49))</f>
        <v/>
      </c>
      <c r="L80" s="41">
        <f>K80*(1+(Assumptions!O$7+Assumptions!$E$49))</f>
        <v/>
      </c>
      <c r="M80" s="41">
        <f>L80*(1+(Assumptions!P$7+Assumptions!$E$49))</f>
        <v/>
      </c>
    </row>
    <row r="81">
      <c r="B81" s="100" t="inlineStr">
        <is>
          <t xml:space="preserve">   Embedded revenue</t>
        </is>
      </c>
      <c r="C81" s="61">
        <f>Assumptions!$F$14</f>
        <v/>
      </c>
      <c r="D81" s="41">
        <f>C81*(1+Assumptions!G$8)</f>
        <v/>
      </c>
      <c r="E81" s="41">
        <f>D81*(1+(Assumptions!H$8+Assumptions!$E$49))</f>
        <v/>
      </c>
      <c r="F81" s="41">
        <f>E81*(1+(Assumptions!I$8+Assumptions!$E$49))</f>
        <v/>
      </c>
      <c r="G81" s="41">
        <f>F81*(1+(Assumptions!J$8+Assumptions!$E$49))</f>
        <v/>
      </c>
      <c r="H81" s="41">
        <f>G81*(1+(Assumptions!K$8+Assumptions!$E$49))</f>
        <v/>
      </c>
      <c r="I81" s="41">
        <f>H81*(1+(Assumptions!L$8+Assumptions!$E$49))</f>
        <v/>
      </c>
      <c r="J81" s="41">
        <f>I81*(1+(Assumptions!M$8+Assumptions!$E$49))</f>
        <v/>
      </c>
      <c r="K81" s="41">
        <f>J81*(1+(Assumptions!N$8+Assumptions!$E$49))</f>
        <v/>
      </c>
      <c r="L81" s="41">
        <f>K81*(1+(Assumptions!O$8+Assumptions!$E$49))</f>
        <v/>
      </c>
      <c r="M81" s="41">
        <f>L81*(1+(Assumptions!P$8+Assumptions!$E$49))</f>
        <v/>
      </c>
    </row>
    <row r="82">
      <c r="B82" s="99" t="inlineStr">
        <is>
          <t xml:space="preserve">   Total revenue</t>
        </is>
      </c>
      <c r="C82" s="59">
        <f>SUM(C78:C81)</f>
        <v/>
      </c>
      <c r="D82" s="59">
        <f>SUM(D78:D81)</f>
        <v/>
      </c>
      <c r="E82" s="59">
        <f>SUM(E78:E81)</f>
        <v/>
      </c>
      <c r="F82" s="59">
        <f>SUM(F78:F81)</f>
        <v/>
      </c>
      <c r="G82" s="59">
        <f>SUM(G78:G81)</f>
        <v/>
      </c>
      <c r="H82" s="59">
        <f>SUM(H78:H81)</f>
        <v/>
      </c>
      <c r="I82" s="59">
        <f>SUM(I78:I81)</f>
        <v/>
      </c>
      <c r="J82" s="59">
        <f>SUM(J78:J81)</f>
        <v/>
      </c>
      <c r="K82" s="59">
        <f>SUM(K78:K81)</f>
        <v/>
      </c>
      <c r="L82" s="59">
        <f>SUM(L78:L81)</f>
        <v/>
      </c>
      <c r="M82" s="59">
        <f>SUM(M78:M81)</f>
        <v/>
      </c>
    </row>
    <row r="83">
      <c r="B83" s="100" t="inlineStr">
        <is>
          <t xml:space="preserve">   EBITDA</t>
        </is>
      </c>
      <c r="D83" s="41">
        <f>D82*(Assumptions!G$19)</f>
        <v/>
      </c>
      <c r="E83" s="41">
        <f>E82*(Assumptions!H$19+Assumptions!$E$50)</f>
        <v/>
      </c>
      <c r="F83" s="41">
        <f>F82*(Assumptions!I$19+Assumptions!$E$50)</f>
        <v/>
      </c>
      <c r="G83" s="41">
        <f>G82*(Assumptions!J$19+Assumptions!$E$50)</f>
        <v/>
      </c>
      <c r="H83" s="41">
        <f>H82*(Assumptions!K$19+Assumptions!$E$50)</f>
        <v/>
      </c>
      <c r="I83" s="41">
        <f>I82*(Assumptions!L$19+Assumptions!$E$50)</f>
        <v/>
      </c>
      <c r="J83" s="41">
        <f>J82*(Assumptions!M$19+Assumptions!$E$50)</f>
        <v/>
      </c>
      <c r="K83" s="41">
        <f>K82*(Assumptions!N$19+Assumptions!$E$50)</f>
        <v/>
      </c>
      <c r="L83" s="41">
        <f>L82*(Assumptions!O$19+Assumptions!$E$50)</f>
        <v/>
      </c>
      <c r="M83" s="41">
        <f>M82*(Assumptions!P$19+Assumptions!$E$50)</f>
        <v/>
      </c>
    </row>
    <row r="84">
      <c r="B84" s="100" t="inlineStr">
        <is>
          <t xml:space="preserve">   D&amp;A</t>
        </is>
      </c>
      <c r="D84" s="41">
        <f>Assumptions!G$20</f>
        <v/>
      </c>
      <c r="E84" s="41">
        <f>Assumptions!H$20</f>
        <v/>
      </c>
      <c r="F84" s="41">
        <f>Assumptions!I$20</f>
        <v/>
      </c>
      <c r="G84" s="41">
        <f>Assumptions!J$20</f>
        <v/>
      </c>
      <c r="H84" s="41">
        <f>Assumptions!K$20</f>
        <v/>
      </c>
      <c r="I84" s="41">
        <f>Assumptions!L$20</f>
        <v/>
      </c>
      <c r="J84" s="41">
        <f>Assumptions!M$20</f>
        <v/>
      </c>
      <c r="K84" s="41">
        <f>Assumptions!N$20</f>
        <v/>
      </c>
      <c r="L84" s="41">
        <f>Assumptions!O$20</f>
        <v/>
      </c>
      <c r="M84" s="41">
        <f>Assumptions!P$20</f>
        <v/>
      </c>
    </row>
    <row r="85">
      <c r="B85" s="100" t="inlineStr">
        <is>
          <t xml:space="preserve">   EBIT</t>
        </is>
      </c>
      <c r="D85" s="41">
        <f>D83-D84</f>
        <v/>
      </c>
      <c r="E85" s="41">
        <f>E83-E84</f>
        <v/>
      </c>
      <c r="F85" s="41">
        <f>F83-F84</f>
        <v/>
      </c>
      <c r="G85" s="41">
        <f>G83-G84</f>
        <v/>
      </c>
      <c r="H85" s="41">
        <f>H83-H84</f>
        <v/>
      </c>
      <c r="I85" s="41">
        <f>I83-I84</f>
        <v/>
      </c>
      <c r="J85" s="41">
        <f>J83-J84</f>
        <v/>
      </c>
      <c r="K85" s="41">
        <f>K83-K84</f>
        <v/>
      </c>
      <c r="L85" s="41">
        <f>L83-L84</f>
        <v/>
      </c>
      <c r="M85" s="41">
        <f>M83-M84</f>
        <v/>
      </c>
    </row>
    <row r="86">
      <c r="B86" s="100" t="inlineStr">
        <is>
          <t xml:space="preserve">   Cash taxes</t>
        </is>
      </c>
      <c r="D86" s="41">
        <f>-MAX(0,D85)*Assumptions!G$21</f>
        <v/>
      </c>
      <c r="E86" s="41">
        <f>-MAX(0,E85)*Assumptions!H$21</f>
        <v/>
      </c>
      <c r="F86" s="41">
        <f>-MAX(0,F85)*Assumptions!I$21</f>
        <v/>
      </c>
      <c r="G86" s="41">
        <f>-MAX(0,G85)*Assumptions!J$21</f>
        <v/>
      </c>
      <c r="H86" s="41">
        <f>-MAX(0,H85)*Assumptions!K$21</f>
        <v/>
      </c>
      <c r="I86" s="41">
        <f>-MAX(0,I85)*Assumptions!L$21</f>
        <v/>
      </c>
      <c r="J86" s="41">
        <f>-MAX(0,J85)*Assumptions!M$21</f>
        <v/>
      </c>
      <c r="K86" s="41">
        <f>-MAX(0,K85)*Assumptions!N$21</f>
        <v/>
      </c>
      <c r="L86" s="41">
        <f>-MAX(0,L85)*Assumptions!O$21</f>
        <v/>
      </c>
      <c r="M86" s="41">
        <f>-MAX(0,M85)*Assumptions!P$21</f>
        <v/>
      </c>
    </row>
    <row r="87">
      <c r="B87" s="100" t="inlineStr">
        <is>
          <t xml:space="preserve">   Capex</t>
        </is>
      </c>
      <c r="D87" s="41">
        <f>-Assumptions!G$22</f>
        <v/>
      </c>
      <c r="E87" s="41">
        <f>-Assumptions!H$22</f>
        <v/>
      </c>
      <c r="F87" s="41">
        <f>-Assumptions!I$22</f>
        <v/>
      </c>
      <c r="G87" s="41">
        <f>-Assumptions!J$22</f>
        <v/>
      </c>
      <c r="H87" s="41">
        <f>-Assumptions!K$22</f>
        <v/>
      </c>
      <c r="I87" s="41">
        <f>-Assumptions!L$22</f>
        <v/>
      </c>
      <c r="J87" s="41">
        <f>-Assumptions!M$22</f>
        <v/>
      </c>
      <c r="K87" s="41">
        <f>-Assumptions!N$22</f>
        <v/>
      </c>
      <c r="L87" s="41">
        <f>-Assumptions!O$22</f>
        <v/>
      </c>
      <c r="M87" s="41">
        <f>-Assumptions!P$22</f>
        <v/>
      </c>
    </row>
    <row r="88">
      <c r="B88" s="100" t="inlineStr">
        <is>
          <t xml:space="preserve">   Δ Working capital</t>
        </is>
      </c>
      <c r="D88" s="41">
        <f>-(D82-C82)*Assumptions!G$23</f>
        <v/>
      </c>
      <c r="E88" s="41">
        <f>-(E82-D82)*Assumptions!H$23</f>
        <v/>
      </c>
      <c r="F88" s="41">
        <f>-(F82-E82)*Assumptions!I$23</f>
        <v/>
      </c>
      <c r="G88" s="41">
        <f>-(G82-F82)*Assumptions!J$23</f>
        <v/>
      </c>
      <c r="H88" s="41">
        <f>-(H82-G82)*Assumptions!K$23</f>
        <v/>
      </c>
      <c r="I88" s="41">
        <f>-(I82-H82)*Assumptions!L$23</f>
        <v/>
      </c>
      <c r="J88" s="41">
        <f>-(J82-I82)*Assumptions!M$23</f>
        <v/>
      </c>
      <c r="K88" s="41">
        <f>-(K82-J82)*Assumptions!N$23</f>
        <v/>
      </c>
      <c r="L88" s="41">
        <f>-(L82-K82)*Assumptions!O$23</f>
        <v/>
      </c>
      <c r="M88" s="41">
        <f>-(M82-L82)*Assumptions!P$23</f>
        <v/>
      </c>
    </row>
    <row r="89">
      <c r="B89" s="99" t="inlineStr">
        <is>
          <t xml:space="preserve">   Unlevered FCF</t>
        </is>
      </c>
      <c r="D89" s="59">
        <f>D85+D86+D84+D87+D88</f>
        <v/>
      </c>
      <c r="E89" s="59">
        <f>E85+E86+E84+E87+E88</f>
        <v/>
      </c>
      <c r="F89" s="59">
        <f>F85+F86+F84+F87+F88</f>
        <v/>
      </c>
      <c r="G89" s="59">
        <f>G85+G86+G84+G87+G88</f>
        <v/>
      </c>
      <c r="H89" s="59">
        <f>H85+H86+H84+H87+H88</f>
        <v/>
      </c>
      <c r="I89" s="59">
        <f>I85+I86+I84+I87+I88</f>
        <v/>
      </c>
      <c r="J89" s="59">
        <f>J85+J86+J84+J87+J88</f>
        <v/>
      </c>
      <c r="K89" s="59">
        <f>K85+K86+K84+K87+K88</f>
        <v/>
      </c>
      <c r="L89" s="59">
        <f>L85+L86+L84+L87+L88</f>
        <v/>
      </c>
      <c r="M89" s="59">
        <f>M85+M86+M84+M87+M88</f>
        <v/>
      </c>
      <c r="N89" s="51">
        <f>DCF!$C$14+Assumptions!$E$51</f>
        <v/>
      </c>
    </row>
    <row r="90">
      <c r="B90" s="100" t="inlineStr">
        <is>
          <t xml:space="preserve">   PV of FCF (stub &amp; mid-year)</t>
        </is>
      </c>
      <c r="D90" s="41">
        <f>D89*DCF!D$18/(1+$N$89)^DCF!D$19</f>
        <v/>
      </c>
      <c r="E90" s="41">
        <f>E89*DCF!E$18/(1+$N$89)^DCF!E$19</f>
        <v/>
      </c>
      <c r="F90" s="41">
        <f>F89*DCF!F$18/(1+$N$89)^DCF!F$19</f>
        <v/>
      </c>
      <c r="G90" s="41">
        <f>G89*DCF!G$18/(1+$N$89)^DCF!G$19</f>
        <v/>
      </c>
      <c r="H90" s="41">
        <f>H89*DCF!H$18/(1+$N$89)^DCF!H$19</f>
        <v/>
      </c>
      <c r="I90" s="41">
        <f>I89*DCF!I$18/(1+$N$89)^DCF!I$19</f>
        <v/>
      </c>
      <c r="J90" s="41">
        <f>J89*DCF!J$18/(1+$N$89)^DCF!J$19</f>
        <v/>
      </c>
      <c r="K90" s="41">
        <f>K89*DCF!K$18/(1+$N$89)^DCF!K$19</f>
        <v/>
      </c>
      <c r="L90" s="41">
        <f>L89*DCF!L$18/(1+$N$89)^DCF!L$19</f>
        <v/>
      </c>
      <c r="M90" s="41">
        <f>M89*DCF!M$18/(1+$N$89)^DCF!M$19</f>
        <v/>
      </c>
      <c r="N90" s="51">
        <f>Assumptions!$E$52</f>
        <v/>
      </c>
    </row>
    <row r="91">
      <c r="B91" s="99" t="inlineStr">
        <is>
          <t xml:space="preserve">   Bull value per share</t>
        </is>
      </c>
      <c r="C91" s="71">
        <f>(SUM(D90:M90)+M89*(1+$N$90)/($N$89-$N$90)/(1+$N$89)^DCF!$M$19+DCF!$C$31-DCF!$C$32)/DCF!$C$34</f>
        <v/>
      </c>
    </row>
    <row r="93">
      <c r="B93" s="99" t="inlineStr">
        <is>
          <t>DC Downside · Data Center revenue</t>
        </is>
      </c>
      <c r="C93" s="61">
        <f>Assumptions!$F$11</f>
        <v/>
      </c>
      <c r="D93" s="41">
        <f>C93*(1+Assumptions!G$5)</f>
        <v/>
      </c>
      <c r="E93" s="41">
        <f>D93*(1+IF(ISNUMBER(Assumptions!$F$53),Assumptions!$F$53,(Assumptions!H$5+Assumptions!$F$49)))</f>
        <v/>
      </c>
      <c r="F93" s="41">
        <f>E93*(1+IF(ISNUMBER(Assumptions!$F$53),Assumptions!$F$53,(Assumptions!I$5+Assumptions!$F$49)))</f>
        <v/>
      </c>
      <c r="G93" s="41">
        <f>F93*(1+IF(ISNUMBER(Assumptions!$F$53),Assumptions!$F$53,(Assumptions!J$5+Assumptions!$F$49)))</f>
        <v/>
      </c>
      <c r="H93" s="41">
        <f>G93*(1+IF(ISNUMBER(Assumptions!$F$53),Assumptions!$F$53,(Assumptions!K$5+Assumptions!$F$49)))</f>
        <v/>
      </c>
      <c r="I93" s="41">
        <f>H93*(1+(Assumptions!L$5+Assumptions!$F$49))</f>
        <v/>
      </c>
      <c r="J93" s="41">
        <f>I93*(1+(Assumptions!M$5+Assumptions!$F$49))</f>
        <v/>
      </c>
      <c r="K93" s="41">
        <f>J93*(1+(Assumptions!N$5+Assumptions!$F$49))</f>
        <v/>
      </c>
      <c r="L93" s="41">
        <f>K93*(1+(Assumptions!O$5+Assumptions!$F$49))</f>
        <v/>
      </c>
      <c r="M93" s="41">
        <f>L93*(1+(Assumptions!P$5+Assumptions!$F$49))</f>
        <v/>
      </c>
    </row>
    <row r="94">
      <c r="B94" s="100" t="inlineStr">
        <is>
          <t xml:space="preserve">   Client revenue</t>
        </is>
      </c>
      <c r="C94" s="61">
        <f>Assumptions!$F$12</f>
        <v/>
      </c>
      <c r="D94" s="41">
        <f>C94*(1+Assumptions!G$6)</f>
        <v/>
      </c>
      <c r="E94" s="41">
        <f>D94*(1+(Assumptions!H$6+Assumptions!$F$49))</f>
        <v/>
      </c>
      <c r="F94" s="41">
        <f>E94*(1+(Assumptions!I$6+Assumptions!$F$49))</f>
        <v/>
      </c>
      <c r="G94" s="41">
        <f>F94*(1+(Assumptions!J$6+Assumptions!$F$49))</f>
        <v/>
      </c>
      <c r="H94" s="41">
        <f>G94*(1+(Assumptions!K$6+Assumptions!$F$49))</f>
        <v/>
      </c>
      <c r="I94" s="41">
        <f>H94*(1+(Assumptions!L$6+Assumptions!$F$49))</f>
        <v/>
      </c>
      <c r="J94" s="41">
        <f>I94*(1+(Assumptions!M$6+Assumptions!$F$49))</f>
        <v/>
      </c>
      <c r="K94" s="41">
        <f>J94*(1+(Assumptions!N$6+Assumptions!$F$49))</f>
        <v/>
      </c>
      <c r="L94" s="41">
        <f>K94*(1+(Assumptions!O$6+Assumptions!$F$49))</f>
        <v/>
      </c>
      <c r="M94" s="41">
        <f>L94*(1+(Assumptions!P$6+Assumptions!$F$49))</f>
        <v/>
      </c>
    </row>
    <row r="95">
      <c r="B95" s="100" t="inlineStr">
        <is>
          <t xml:space="preserve">   Gaming revenue</t>
        </is>
      </c>
      <c r="C95" s="61">
        <f>Assumptions!$F$13</f>
        <v/>
      </c>
      <c r="D95" s="41">
        <f>C95*(1+Assumptions!G$7)</f>
        <v/>
      </c>
      <c r="E95" s="41">
        <f>D95*(1+(Assumptions!H$7+Assumptions!$F$49))</f>
        <v/>
      </c>
      <c r="F95" s="41">
        <f>E95*(1+(Assumptions!I$7+Assumptions!$F$49))</f>
        <v/>
      </c>
      <c r="G95" s="41">
        <f>F95*(1+(Assumptions!J$7+Assumptions!$F$49))</f>
        <v/>
      </c>
      <c r="H95" s="41">
        <f>G95*(1+(Assumptions!K$7+Assumptions!$F$49))</f>
        <v/>
      </c>
      <c r="I95" s="41">
        <f>H95*(1+(Assumptions!L$7+Assumptions!$F$49))</f>
        <v/>
      </c>
      <c r="J95" s="41">
        <f>I95*(1+(Assumptions!M$7+Assumptions!$F$49))</f>
        <v/>
      </c>
      <c r="K95" s="41">
        <f>J95*(1+(Assumptions!N$7+Assumptions!$F$49))</f>
        <v/>
      </c>
      <c r="L95" s="41">
        <f>K95*(1+(Assumptions!O$7+Assumptions!$F$49))</f>
        <v/>
      </c>
      <c r="M95" s="41">
        <f>L95*(1+(Assumptions!P$7+Assumptions!$F$49))</f>
        <v/>
      </c>
    </row>
    <row r="96">
      <c r="B96" s="100" t="inlineStr">
        <is>
          <t xml:space="preserve">   Embedded revenue</t>
        </is>
      </c>
      <c r="C96" s="61">
        <f>Assumptions!$F$14</f>
        <v/>
      </c>
      <c r="D96" s="41">
        <f>C96*(1+Assumptions!G$8)</f>
        <v/>
      </c>
      <c r="E96" s="41">
        <f>D96*(1+(Assumptions!H$8+Assumptions!$F$49))</f>
        <v/>
      </c>
      <c r="F96" s="41">
        <f>E96*(1+(Assumptions!I$8+Assumptions!$F$49))</f>
        <v/>
      </c>
      <c r="G96" s="41">
        <f>F96*(1+(Assumptions!J$8+Assumptions!$F$49))</f>
        <v/>
      </c>
      <c r="H96" s="41">
        <f>G96*(1+(Assumptions!K$8+Assumptions!$F$49))</f>
        <v/>
      </c>
      <c r="I96" s="41">
        <f>H96*(1+(Assumptions!L$8+Assumptions!$F$49))</f>
        <v/>
      </c>
      <c r="J96" s="41">
        <f>I96*(1+(Assumptions!M$8+Assumptions!$F$49))</f>
        <v/>
      </c>
      <c r="K96" s="41">
        <f>J96*(1+(Assumptions!N$8+Assumptions!$F$49))</f>
        <v/>
      </c>
      <c r="L96" s="41">
        <f>K96*(1+(Assumptions!O$8+Assumptions!$F$49))</f>
        <v/>
      </c>
      <c r="M96" s="41">
        <f>L96*(1+(Assumptions!P$8+Assumptions!$F$49))</f>
        <v/>
      </c>
    </row>
    <row r="97">
      <c r="B97" s="99" t="inlineStr">
        <is>
          <t xml:space="preserve">   Total revenue</t>
        </is>
      </c>
      <c r="C97" s="59">
        <f>SUM(C93:C96)</f>
        <v/>
      </c>
      <c r="D97" s="59">
        <f>SUM(D93:D96)</f>
        <v/>
      </c>
      <c r="E97" s="59">
        <f>SUM(E93:E96)</f>
        <v/>
      </c>
      <c r="F97" s="59">
        <f>SUM(F93:F96)</f>
        <v/>
      </c>
      <c r="G97" s="59">
        <f>SUM(G93:G96)</f>
        <v/>
      </c>
      <c r="H97" s="59">
        <f>SUM(H93:H96)</f>
        <v/>
      </c>
      <c r="I97" s="59">
        <f>SUM(I93:I96)</f>
        <v/>
      </c>
      <c r="J97" s="59">
        <f>SUM(J93:J96)</f>
        <v/>
      </c>
      <c r="K97" s="59">
        <f>SUM(K93:K96)</f>
        <v/>
      </c>
      <c r="L97" s="59">
        <f>SUM(L93:L96)</f>
        <v/>
      </c>
      <c r="M97" s="59">
        <f>SUM(M93:M96)</f>
        <v/>
      </c>
    </row>
    <row r="98">
      <c r="B98" s="100" t="inlineStr">
        <is>
          <t xml:space="preserve">   EBITDA</t>
        </is>
      </c>
      <c r="D98" s="41">
        <f>D97*(Assumptions!G$19)</f>
        <v/>
      </c>
      <c r="E98" s="41">
        <f>E97*(Assumptions!H$19+Assumptions!$F$50)</f>
        <v/>
      </c>
      <c r="F98" s="41">
        <f>F97*(Assumptions!I$19+Assumptions!$F$50)</f>
        <v/>
      </c>
      <c r="G98" s="41">
        <f>G97*(Assumptions!J$19+Assumptions!$F$50)</f>
        <v/>
      </c>
      <c r="H98" s="41">
        <f>H97*(Assumptions!K$19+Assumptions!$F$50)</f>
        <v/>
      </c>
      <c r="I98" s="41">
        <f>I97*(Assumptions!L$19+Assumptions!$F$50)</f>
        <v/>
      </c>
      <c r="J98" s="41">
        <f>J97*(Assumptions!M$19+Assumptions!$F$50)</f>
        <v/>
      </c>
      <c r="K98" s="41">
        <f>K97*(Assumptions!N$19+Assumptions!$F$50)</f>
        <v/>
      </c>
      <c r="L98" s="41">
        <f>L97*(Assumptions!O$19+Assumptions!$F$50)</f>
        <v/>
      </c>
      <c r="M98" s="41">
        <f>M97*(Assumptions!P$19+Assumptions!$F$50)</f>
        <v/>
      </c>
    </row>
    <row r="99">
      <c r="B99" s="100" t="inlineStr">
        <is>
          <t xml:space="preserve">   D&amp;A</t>
        </is>
      </c>
      <c r="D99" s="41">
        <f>Assumptions!G$20</f>
        <v/>
      </c>
      <c r="E99" s="41">
        <f>Assumptions!H$20</f>
        <v/>
      </c>
      <c r="F99" s="41">
        <f>Assumptions!I$20</f>
        <v/>
      </c>
      <c r="G99" s="41">
        <f>Assumptions!J$20</f>
        <v/>
      </c>
      <c r="H99" s="41">
        <f>Assumptions!K$20</f>
        <v/>
      </c>
      <c r="I99" s="41">
        <f>Assumptions!L$20</f>
        <v/>
      </c>
      <c r="J99" s="41">
        <f>Assumptions!M$20</f>
        <v/>
      </c>
      <c r="K99" s="41">
        <f>Assumptions!N$20</f>
        <v/>
      </c>
      <c r="L99" s="41">
        <f>Assumptions!O$20</f>
        <v/>
      </c>
      <c r="M99" s="41">
        <f>Assumptions!P$20</f>
        <v/>
      </c>
    </row>
    <row r="100">
      <c r="B100" s="100" t="inlineStr">
        <is>
          <t xml:space="preserve">   EBIT</t>
        </is>
      </c>
      <c r="D100" s="41">
        <f>D98-D99</f>
        <v/>
      </c>
      <c r="E100" s="41">
        <f>E98-E99</f>
        <v/>
      </c>
      <c r="F100" s="41">
        <f>F98-F99</f>
        <v/>
      </c>
      <c r="G100" s="41">
        <f>G98-G99</f>
        <v/>
      </c>
      <c r="H100" s="41">
        <f>H98-H99</f>
        <v/>
      </c>
      <c r="I100" s="41">
        <f>I98-I99</f>
        <v/>
      </c>
      <c r="J100" s="41">
        <f>J98-J99</f>
        <v/>
      </c>
      <c r="K100" s="41">
        <f>K98-K99</f>
        <v/>
      </c>
      <c r="L100" s="41">
        <f>L98-L99</f>
        <v/>
      </c>
      <c r="M100" s="41">
        <f>M98-M99</f>
        <v/>
      </c>
    </row>
    <row r="101">
      <c r="B101" s="100" t="inlineStr">
        <is>
          <t xml:space="preserve">   Cash taxes</t>
        </is>
      </c>
      <c r="D101" s="41">
        <f>-MAX(0,D100)*Assumptions!G$21</f>
        <v/>
      </c>
      <c r="E101" s="41">
        <f>-MAX(0,E100)*Assumptions!H$21</f>
        <v/>
      </c>
      <c r="F101" s="41">
        <f>-MAX(0,F100)*Assumptions!I$21</f>
        <v/>
      </c>
      <c r="G101" s="41">
        <f>-MAX(0,G100)*Assumptions!J$21</f>
        <v/>
      </c>
      <c r="H101" s="41">
        <f>-MAX(0,H100)*Assumptions!K$21</f>
        <v/>
      </c>
      <c r="I101" s="41">
        <f>-MAX(0,I100)*Assumptions!L$21</f>
        <v/>
      </c>
      <c r="J101" s="41">
        <f>-MAX(0,J100)*Assumptions!M$21</f>
        <v/>
      </c>
      <c r="K101" s="41">
        <f>-MAX(0,K100)*Assumptions!N$21</f>
        <v/>
      </c>
      <c r="L101" s="41">
        <f>-MAX(0,L100)*Assumptions!O$21</f>
        <v/>
      </c>
      <c r="M101" s="41">
        <f>-MAX(0,M100)*Assumptions!P$21</f>
        <v/>
      </c>
    </row>
    <row r="102">
      <c r="B102" s="100" t="inlineStr">
        <is>
          <t xml:space="preserve">   Capex</t>
        </is>
      </c>
      <c r="D102" s="41">
        <f>-Assumptions!G$22</f>
        <v/>
      </c>
      <c r="E102" s="41">
        <f>-Assumptions!H$22</f>
        <v/>
      </c>
      <c r="F102" s="41">
        <f>-Assumptions!I$22</f>
        <v/>
      </c>
      <c r="G102" s="41">
        <f>-Assumptions!J$22</f>
        <v/>
      </c>
      <c r="H102" s="41">
        <f>-Assumptions!K$22</f>
        <v/>
      </c>
      <c r="I102" s="41">
        <f>-Assumptions!L$22</f>
        <v/>
      </c>
      <c r="J102" s="41">
        <f>-Assumptions!M$22</f>
        <v/>
      </c>
      <c r="K102" s="41">
        <f>-Assumptions!N$22</f>
        <v/>
      </c>
      <c r="L102" s="41">
        <f>-Assumptions!O$22</f>
        <v/>
      </c>
      <c r="M102" s="41">
        <f>-Assumptions!P$22</f>
        <v/>
      </c>
    </row>
    <row r="103">
      <c r="B103" s="100" t="inlineStr">
        <is>
          <t xml:space="preserve">   Δ Working capital</t>
        </is>
      </c>
      <c r="D103" s="41">
        <f>-(D97-C97)*Assumptions!G$23</f>
        <v/>
      </c>
      <c r="E103" s="41">
        <f>-(E97-D97)*Assumptions!H$23</f>
        <v/>
      </c>
      <c r="F103" s="41">
        <f>-(F97-E97)*Assumptions!I$23</f>
        <v/>
      </c>
      <c r="G103" s="41">
        <f>-(G97-F97)*Assumptions!J$23</f>
        <v/>
      </c>
      <c r="H103" s="41">
        <f>-(H97-G97)*Assumptions!K$23</f>
        <v/>
      </c>
      <c r="I103" s="41">
        <f>-(I97-H97)*Assumptions!L$23</f>
        <v/>
      </c>
      <c r="J103" s="41">
        <f>-(J97-I97)*Assumptions!M$23</f>
        <v/>
      </c>
      <c r="K103" s="41">
        <f>-(K97-J97)*Assumptions!N$23</f>
        <v/>
      </c>
      <c r="L103" s="41">
        <f>-(L97-K97)*Assumptions!O$23</f>
        <v/>
      </c>
      <c r="M103" s="41">
        <f>-(M97-L97)*Assumptions!P$23</f>
        <v/>
      </c>
    </row>
    <row r="104">
      <c r="B104" s="99" t="inlineStr">
        <is>
          <t xml:space="preserve">   Unlevered FCF</t>
        </is>
      </c>
      <c r="D104" s="59">
        <f>D100+D101+D99+D102+D103</f>
        <v/>
      </c>
      <c r="E104" s="59">
        <f>E100+E101+E99+E102+E103</f>
        <v/>
      </c>
      <c r="F104" s="59">
        <f>F100+F101+F99+F102+F103</f>
        <v/>
      </c>
      <c r="G104" s="59">
        <f>G100+G101+G99+G102+G103</f>
        <v/>
      </c>
      <c r="H104" s="59">
        <f>H100+H101+H99+H102+H103</f>
        <v/>
      </c>
      <c r="I104" s="59">
        <f>I100+I101+I99+I102+I103</f>
        <v/>
      </c>
      <c r="J104" s="59">
        <f>J100+J101+J99+J102+J103</f>
        <v/>
      </c>
      <c r="K104" s="59">
        <f>K100+K101+K99+K102+K103</f>
        <v/>
      </c>
      <c r="L104" s="59">
        <f>L100+L101+L99+L102+L103</f>
        <v/>
      </c>
      <c r="M104" s="59">
        <f>M100+M101+M99+M102+M103</f>
        <v/>
      </c>
      <c r="N104" s="51">
        <f>DCF!$C$14+Assumptions!$F$51</f>
        <v/>
      </c>
    </row>
    <row r="105">
      <c r="B105" s="100" t="inlineStr">
        <is>
          <t xml:space="preserve">   PV of FCF (stub &amp; mid-year)</t>
        </is>
      </c>
      <c r="D105" s="41">
        <f>D104*DCF!D$18/(1+$N$104)^DCF!D$19</f>
        <v/>
      </c>
      <c r="E105" s="41">
        <f>E104*DCF!E$18/(1+$N$104)^DCF!E$19</f>
        <v/>
      </c>
      <c r="F105" s="41">
        <f>F104*DCF!F$18/(1+$N$104)^DCF!F$19</f>
        <v/>
      </c>
      <c r="G105" s="41">
        <f>G104*DCF!G$18/(1+$N$104)^DCF!G$19</f>
        <v/>
      </c>
      <c r="H105" s="41">
        <f>H104*DCF!H$18/(1+$N$104)^DCF!H$19</f>
        <v/>
      </c>
      <c r="I105" s="41">
        <f>I104*DCF!I$18/(1+$N$104)^DCF!I$19</f>
        <v/>
      </c>
      <c r="J105" s="41">
        <f>J104*DCF!J$18/(1+$N$104)^DCF!J$19</f>
        <v/>
      </c>
      <c r="K105" s="41">
        <f>K104*DCF!K$18/(1+$N$104)^DCF!K$19</f>
        <v/>
      </c>
      <c r="L105" s="41">
        <f>L104*DCF!L$18/(1+$N$104)^DCF!L$19</f>
        <v/>
      </c>
      <c r="M105" s="41">
        <f>M104*DCF!M$18/(1+$N$104)^DCF!M$19</f>
        <v/>
      </c>
      <c r="N105" s="51">
        <f>Assumptions!$F$52</f>
        <v/>
      </c>
    </row>
    <row r="106">
      <c r="B106" s="99" t="inlineStr">
        <is>
          <t xml:space="preserve">   DC Downside value per share</t>
        </is>
      </c>
      <c r="C106" s="71">
        <f>(SUM(D105:M105)+M104*(1+$N$105)/($N$104-$N$105)/(1+$N$104)^DCF!$M$19+DCF!$C$31-DCF!$C$32)/DCF!$C$34</f>
        <v/>
      </c>
    </row>
    <row r="108">
      <c r="B108" s="99" t="inlineStr">
        <is>
          <t>DC Base · Data Center revenue</t>
        </is>
      </c>
      <c r="C108" s="61">
        <f>Assumptions!$F$11</f>
        <v/>
      </c>
      <c r="D108" s="41">
        <f>C108*(1+Assumptions!G$5)</f>
        <v/>
      </c>
      <c r="E108" s="41">
        <f>D108*(1+IF(ISNUMBER(Assumptions!$G$53),Assumptions!$G$53,(Assumptions!H$5+Assumptions!$G$49)))</f>
        <v/>
      </c>
      <c r="F108" s="41">
        <f>E108*(1+IF(ISNUMBER(Assumptions!$G$53),Assumptions!$G$53,(Assumptions!I$5+Assumptions!$G$49)))</f>
        <v/>
      </c>
      <c r="G108" s="41">
        <f>F108*(1+IF(ISNUMBER(Assumptions!$G$53),Assumptions!$G$53,(Assumptions!J$5+Assumptions!$G$49)))</f>
        <v/>
      </c>
      <c r="H108" s="41">
        <f>G108*(1+IF(ISNUMBER(Assumptions!$G$53),Assumptions!$G$53,(Assumptions!K$5+Assumptions!$G$49)))</f>
        <v/>
      </c>
      <c r="I108" s="41">
        <f>H108*(1+(Assumptions!L$5+Assumptions!$G$49))</f>
        <v/>
      </c>
      <c r="J108" s="41">
        <f>I108*(1+(Assumptions!M$5+Assumptions!$G$49))</f>
        <v/>
      </c>
      <c r="K108" s="41">
        <f>J108*(1+(Assumptions!N$5+Assumptions!$G$49))</f>
        <v/>
      </c>
      <c r="L108" s="41">
        <f>K108*(1+(Assumptions!O$5+Assumptions!$G$49))</f>
        <v/>
      </c>
      <c r="M108" s="41">
        <f>L108*(1+(Assumptions!P$5+Assumptions!$G$49))</f>
        <v/>
      </c>
    </row>
    <row r="109">
      <c r="B109" s="100" t="inlineStr">
        <is>
          <t xml:space="preserve">   Client revenue</t>
        </is>
      </c>
      <c r="C109" s="61">
        <f>Assumptions!$F$12</f>
        <v/>
      </c>
      <c r="D109" s="41">
        <f>C109*(1+Assumptions!G$6)</f>
        <v/>
      </c>
      <c r="E109" s="41">
        <f>D109*(1+(Assumptions!H$6+Assumptions!$G$49))</f>
        <v/>
      </c>
      <c r="F109" s="41">
        <f>E109*(1+(Assumptions!I$6+Assumptions!$G$49))</f>
        <v/>
      </c>
      <c r="G109" s="41">
        <f>F109*(1+(Assumptions!J$6+Assumptions!$G$49))</f>
        <v/>
      </c>
      <c r="H109" s="41">
        <f>G109*(1+(Assumptions!K$6+Assumptions!$G$49))</f>
        <v/>
      </c>
      <c r="I109" s="41">
        <f>H109*(1+(Assumptions!L$6+Assumptions!$G$49))</f>
        <v/>
      </c>
      <c r="J109" s="41">
        <f>I109*(1+(Assumptions!M$6+Assumptions!$G$49))</f>
        <v/>
      </c>
      <c r="K109" s="41">
        <f>J109*(1+(Assumptions!N$6+Assumptions!$G$49))</f>
        <v/>
      </c>
      <c r="L109" s="41">
        <f>K109*(1+(Assumptions!O$6+Assumptions!$G$49))</f>
        <v/>
      </c>
      <c r="M109" s="41">
        <f>L109*(1+(Assumptions!P$6+Assumptions!$G$49))</f>
        <v/>
      </c>
    </row>
    <row r="110">
      <c r="B110" s="100" t="inlineStr">
        <is>
          <t xml:space="preserve">   Gaming revenue</t>
        </is>
      </c>
      <c r="C110" s="61">
        <f>Assumptions!$F$13</f>
        <v/>
      </c>
      <c r="D110" s="41">
        <f>C110*(1+Assumptions!G$7)</f>
        <v/>
      </c>
      <c r="E110" s="41">
        <f>D110*(1+(Assumptions!H$7+Assumptions!$G$49))</f>
        <v/>
      </c>
      <c r="F110" s="41">
        <f>E110*(1+(Assumptions!I$7+Assumptions!$G$49))</f>
        <v/>
      </c>
      <c r="G110" s="41">
        <f>F110*(1+(Assumptions!J$7+Assumptions!$G$49))</f>
        <v/>
      </c>
      <c r="H110" s="41">
        <f>G110*(1+(Assumptions!K$7+Assumptions!$G$49))</f>
        <v/>
      </c>
      <c r="I110" s="41">
        <f>H110*(1+(Assumptions!L$7+Assumptions!$G$49))</f>
        <v/>
      </c>
      <c r="J110" s="41">
        <f>I110*(1+(Assumptions!M$7+Assumptions!$G$49))</f>
        <v/>
      </c>
      <c r="K110" s="41">
        <f>J110*(1+(Assumptions!N$7+Assumptions!$G$49))</f>
        <v/>
      </c>
      <c r="L110" s="41">
        <f>K110*(1+(Assumptions!O$7+Assumptions!$G$49))</f>
        <v/>
      </c>
      <c r="M110" s="41">
        <f>L110*(1+(Assumptions!P$7+Assumptions!$G$49))</f>
        <v/>
      </c>
    </row>
    <row r="111">
      <c r="B111" s="100" t="inlineStr">
        <is>
          <t xml:space="preserve">   Embedded revenue</t>
        </is>
      </c>
      <c r="C111" s="61">
        <f>Assumptions!$F$14</f>
        <v/>
      </c>
      <c r="D111" s="41">
        <f>C111*(1+Assumptions!G$8)</f>
        <v/>
      </c>
      <c r="E111" s="41">
        <f>D111*(1+(Assumptions!H$8+Assumptions!$G$49))</f>
        <v/>
      </c>
      <c r="F111" s="41">
        <f>E111*(1+(Assumptions!I$8+Assumptions!$G$49))</f>
        <v/>
      </c>
      <c r="G111" s="41">
        <f>F111*(1+(Assumptions!J$8+Assumptions!$G$49))</f>
        <v/>
      </c>
      <c r="H111" s="41">
        <f>G111*(1+(Assumptions!K$8+Assumptions!$G$49))</f>
        <v/>
      </c>
      <c r="I111" s="41">
        <f>H111*(1+(Assumptions!L$8+Assumptions!$G$49))</f>
        <v/>
      </c>
      <c r="J111" s="41">
        <f>I111*(1+(Assumptions!M$8+Assumptions!$G$49))</f>
        <v/>
      </c>
      <c r="K111" s="41">
        <f>J111*(1+(Assumptions!N$8+Assumptions!$G$49))</f>
        <v/>
      </c>
      <c r="L111" s="41">
        <f>K111*(1+(Assumptions!O$8+Assumptions!$G$49))</f>
        <v/>
      </c>
      <c r="M111" s="41">
        <f>L111*(1+(Assumptions!P$8+Assumptions!$G$49))</f>
        <v/>
      </c>
    </row>
    <row r="112">
      <c r="B112" s="99" t="inlineStr">
        <is>
          <t xml:space="preserve">   Total revenue</t>
        </is>
      </c>
      <c r="C112" s="59">
        <f>SUM(C108:C111)</f>
        <v/>
      </c>
      <c r="D112" s="59">
        <f>SUM(D108:D111)</f>
        <v/>
      </c>
      <c r="E112" s="59">
        <f>SUM(E108:E111)</f>
        <v/>
      </c>
      <c r="F112" s="59">
        <f>SUM(F108:F111)</f>
        <v/>
      </c>
      <c r="G112" s="59">
        <f>SUM(G108:G111)</f>
        <v/>
      </c>
      <c r="H112" s="59">
        <f>SUM(H108:H111)</f>
        <v/>
      </c>
      <c r="I112" s="59">
        <f>SUM(I108:I111)</f>
        <v/>
      </c>
      <c r="J112" s="59">
        <f>SUM(J108:J111)</f>
        <v/>
      </c>
      <c r="K112" s="59">
        <f>SUM(K108:K111)</f>
        <v/>
      </c>
      <c r="L112" s="59">
        <f>SUM(L108:L111)</f>
        <v/>
      </c>
      <c r="M112" s="59">
        <f>SUM(M108:M111)</f>
        <v/>
      </c>
    </row>
    <row r="113">
      <c r="B113" s="100" t="inlineStr">
        <is>
          <t xml:space="preserve">   EBITDA</t>
        </is>
      </c>
      <c r="D113" s="41">
        <f>D112*(Assumptions!G$19)</f>
        <v/>
      </c>
      <c r="E113" s="41">
        <f>E112*(Assumptions!H$19+Assumptions!$G$50)</f>
        <v/>
      </c>
      <c r="F113" s="41">
        <f>F112*(Assumptions!I$19+Assumptions!$G$50)</f>
        <v/>
      </c>
      <c r="G113" s="41">
        <f>G112*(Assumptions!J$19+Assumptions!$G$50)</f>
        <v/>
      </c>
      <c r="H113" s="41">
        <f>H112*(Assumptions!K$19+Assumptions!$G$50)</f>
        <v/>
      </c>
      <c r="I113" s="41">
        <f>I112*(Assumptions!L$19+Assumptions!$G$50)</f>
        <v/>
      </c>
      <c r="J113" s="41">
        <f>J112*(Assumptions!M$19+Assumptions!$G$50)</f>
        <v/>
      </c>
      <c r="K113" s="41">
        <f>K112*(Assumptions!N$19+Assumptions!$G$50)</f>
        <v/>
      </c>
      <c r="L113" s="41">
        <f>L112*(Assumptions!O$19+Assumptions!$G$50)</f>
        <v/>
      </c>
      <c r="M113" s="41">
        <f>M112*(Assumptions!P$19+Assumptions!$G$50)</f>
        <v/>
      </c>
    </row>
    <row r="114">
      <c r="B114" s="100" t="inlineStr">
        <is>
          <t xml:space="preserve">   D&amp;A</t>
        </is>
      </c>
      <c r="D114" s="41">
        <f>Assumptions!G$20</f>
        <v/>
      </c>
      <c r="E114" s="41">
        <f>Assumptions!H$20</f>
        <v/>
      </c>
      <c r="F114" s="41">
        <f>Assumptions!I$20</f>
        <v/>
      </c>
      <c r="G114" s="41">
        <f>Assumptions!J$20</f>
        <v/>
      </c>
      <c r="H114" s="41">
        <f>Assumptions!K$20</f>
        <v/>
      </c>
      <c r="I114" s="41">
        <f>Assumptions!L$20</f>
        <v/>
      </c>
      <c r="J114" s="41">
        <f>Assumptions!M$20</f>
        <v/>
      </c>
      <c r="K114" s="41">
        <f>Assumptions!N$20</f>
        <v/>
      </c>
      <c r="L114" s="41">
        <f>Assumptions!O$20</f>
        <v/>
      </c>
      <c r="M114" s="41">
        <f>Assumptions!P$20</f>
        <v/>
      </c>
    </row>
    <row r="115">
      <c r="B115" s="100" t="inlineStr">
        <is>
          <t xml:space="preserve">   EBIT</t>
        </is>
      </c>
      <c r="D115" s="41">
        <f>D113-D114</f>
        <v/>
      </c>
      <c r="E115" s="41">
        <f>E113-E114</f>
        <v/>
      </c>
      <c r="F115" s="41">
        <f>F113-F114</f>
        <v/>
      </c>
      <c r="G115" s="41">
        <f>G113-G114</f>
        <v/>
      </c>
      <c r="H115" s="41">
        <f>H113-H114</f>
        <v/>
      </c>
      <c r="I115" s="41">
        <f>I113-I114</f>
        <v/>
      </c>
      <c r="J115" s="41">
        <f>J113-J114</f>
        <v/>
      </c>
      <c r="K115" s="41">
        <f>K113-K114</f>
        <v/>
      </c>
      <c r="L115" s="41">
        <f>L113-L114</f>
        <v/>
      </c>
      <c r="M115" s="41">
        <f>M113-M114</f>
        <v/>
      </c>
    </row>
    <row r="116">
      <c r="B116" s="100" t="inlineStr">
        <is>
          <t xml:space="preserve">   Cash taxes</t>
        </is>
      </c>
      <c r="D116" s="41">
        <f>-MAX(0,D115)*Assumptions!G$21</f>
        <v/>
      </c>
      <c r="E116" s="41">
        <f>-MAX(0,E115)*Assumptions!H$21</f>
        <v/>
      </c>
      <c r="F116" s="41">
        <f>-MAX(0,F115)*Assumptions!I$21</f>
        <v/>
      </c>
      <c r="G116" s="41">
        <f>-MAX(0,G115)*Assumptions!J$21</f>
        <v/>
      </c>
      <c r="H116" s="41">
        <f>-MAX(0,H115)*Assumptions!K$21</f>
        <v/>
      </c>
      <c r="I116" s="41">
        <f>-MAX(0,I115)*Assumptions!L$21</f>
        <v/>
      </c>
      <c r="J116" s="41">
        <f>-MAX(0,J115)*Assumptions!M$21</f>
        <v/>
      </c>
      <c r="K116" s="41">
        <f>-MAX(0,K115)*Assumptions!N$21</f>
        <v/>
      </c>
      <c r="L116" s="41">
        <f>-MAX(0,L115)*Assumptions!O$21</f>
        <v/>
      </c>
      <c r="M116" s="41">
        <f>-MAX(0,M115)*Assumptions!P$21</f>
        <v/>
      </c>
    </row>
    <row r="117">
      <c r="B117" s="100" t="inlineStr">
        <is>
          <t xml:space="preserve">   Capex</t>
        </is>
      </c>
      <c r="D117" s="41">
        <f>-Assumptions!G$22</f>
        <v/>
      </c>
      <c r="E117" s="41">
        <f>-Assumptions!H$22</f>
        <v/>
      </c>
      <c r="F117" s="41">
        <f>-Assumptions!I$22</f>
        <v/>
      </c>
      <c r="G117" s="41">
        <f>-Assumptions!J$22</f>
        <v/>
      </c>
      <c r="H117" s="41">
        <f>-Assumptions!K$22</f>
        <v/>
      </c>
      <c r="I117" s="41">
        <f>-Assumptions!L$22</f>
        <v/>
      </c>
      <c r="J117" s="41">
        <f>-Assumptions!M$22</f>
        <v/>
      </c>
      <c r="K117" s="41">
        <f>-Assumptions!N$22</f>
        <v/>
      </c>
      <c r="L117" s="41">
        <f>-Assumptions!O$22</f>
        <v/>
      </c>
      <c r="M117" s="41">
        <f>-Assumptions!P$22</f>
        <v/>
      </c>
    </row>
    <row r="118">
      <c r="B118" s="100" t="inlineStr">
        <is>
          <t xml:space="preserve">   Δ Working capital</t>
        </is>
      </c>
      <c r="D118" s="41">
        <f>-(D112-C112)*Assumptions!G$23</f>
        <v/>
      </c>
      <c r="E118" s="41">
        <f>-(E112-D112)*Assumptions!H$23</f>
        <v/>
      </c>
      <c r="F118" s="41">
        <f>-(F112-E112)*Assumptions!I$23</f>
        <v/>
      </c>
      <c r="G118" s="41">
        <f>-(G112-F112)*Assumptions!J$23</f>
        <v/>
      </c>
      <c r="H118" s="41">
        <f>-(H112-G112)*Assumptions!K$23</f>
        <v/>
      </c>
      <c r="I118" s="41">
        <f>-(I112-H112)*Assumptions!L$23</f>
        <v/>
      </c>
      <c r="J118" s="41">
        <f>-(J112-I112)*Assumptions!M$23</f>
        <v/>
      </c>
      <c r="K118" s="41">
        <f>-(K112-J112)*Assumptions!N$23</f>
        <v/>
      </c>
      <c r="L118" s="41">
        <f>-(L112-K112)*Assumptions!O$23</f>
        <v/>
      </c>
      <c r="M118" s="41">
        <f>-(M112-L112)*Assumptions!P$23</f>
        <v/>
      </c>
    </row>
    <row r="119">
      <c r="B119" s="99" t="inlineStr">
        <is>
          <t xml:space="preserve">   Unlevered FCF</t>
        </is>
      </c>
      <c r="D119" s="59">
        <f>D115+D116+D114+D117+D118</f>
        <v/>
      </c>
      <c r="E119" s="59">
        <f>E115+E116+E114+E117+E118</f>
        <v/>
      </c>
      <c r="F119" s="59">
        <f>F115+F116+F114+F117+F118</f>
        <v/>
      </c>
      <c r="G119" s="59">
        <f>G115+G116+G114+G117+G118</f>
        <v/>
      </c>
      <c r="H119" s="59">
        <f>H115+H116+H114+H117+H118</f>
        <v/>
      </c>
      <c r="I119" s="59">
        <f>I115+I116+I114+I117+I118</f>
        <v/>
      </c>
      <c r="J119" s="59">
        <f>J115+J116+J114+J117+J118</f>
        <v/>
      </c>
      <c r="K119" s="59">
        <f>K115+K116+K114+K117+K118</f>
        <v/>
      </c>
      <c r="L119" s="59">
        <f>L115+L116+L114+L117+L118</f>
        <v/>
      </c>
      <c r="M119" s="59">
        <f>M115+M116+M114+M117+M118</f>
        <v/>
      </c>
      <c r="N119" s="51">
        <f>DCF!$C$14+Assumptions!$G$51</f>
        <v/>
      </c>
    </row>
    <row r="120">
      <c r="B120" s="100" t="inlineStr">
        <is>
          <t xml:space="preserve">   PV of FCF (stub &amp; mid-year)</t>
        </is>
      </c>
      <c r="D120" s="41">
        <f>D119*DCF!D$18/(1+$N$119)^DCF!D$19</f>
        <v/>
      </c>
      <c r="E120" s="41">
        <f>E119*DCF!E$18/(1+$N$119)^DCF!E$19</f>
        <v/>
      </c>
      <c r="F120" s="41">
        <f>F119*DCF!F$18/(1+$N$119)^DCF!F$19</f>
        <v/>
      </c>
      <c r="G120" s="41">
        <f>G119*DCF!G$18/(1+$N$119)^DCF!G$19</f>
        <v/>
      </c>
      <c r="H120" s="41">
        <f>H119*DCF!H$18/(1+$N$119)^DCF!H$19</f>
        <v/>
      </c>
      <c r="I120" s="41">
        <f>I119*DCF!I$18/(1+$N$119)^DCF!I$19</f>
        <v/>
      </c>
      <c r="J120" s="41">
        <f>J119*DCF!J$18/(1+$N$119)^DCF!J$19</f>
        <v/>
      </c>
      <c r="K120" s="41">
        <f>K119*DCF!K$18/(1+$N$119)^DCF!K$19</f>
        <v/>
      </c>
      <c r="L120" s="41">
        <f>L119*DCF!L$18/(1+$N$119)^DCF!L$19</f>
        <v/>
      </c>
      <c r="M120" s="41">
        <f>M119*DCF!M$18/(1+$N$119)^DCF!M$19</f>
        <v/>
      </c>
      <c r="N120" s="51">
        <f>Assumptions!$G$52</f>
        <v/>
      </c>
    </row>
    <row r="121">
      <c r="B121" s="99" t="inlineStr">
        <is>
          <t xml:space="preserve">   DC Base value per share</t>
        </is>
      </c>
      <c r="C121" s="71">
        <f>(SUM(D120:M120)+M119*(1+$N$120)/($N$119-$N$120)/(1+$N$119)^DCF!$M$19+DCF!$C$31-DCF!$C$32)/DCF!$C$34</f>
        <v/>
      </c>
    </row>
    <row r="123">
      <c r="B123" s="99" t="inlineStr">
        <is>
          <t>DC Bull · Data Center revenue</t>
        </is>
      </c>
      <c r="C123" s="61">
        <f>Assumptions!$F$11</f>
        <v/>
      </c>
      <c r="D123" s="41">
        <f>C123*(1+Assumptions!G$5)</f>
        <v/>
      </c>
      <c r="E123" s="41">
        <f>D123*(1+IF(ISNUMBER(Assumptions!$H$53),Assumptions!$H$53,(Assumptions!H$5+Assumptions!$H$49)))</f>
        <v/>
      </c>
      <c r="F123" s="41">
        <f>E123*(1+IF(ISNUMBER(Assumptions!$H$53),Assumptions!$H$53,(Assumptions!I$5+Assumptions!$H$49)))</f>
        <v/>
      </c>
      <c r="G123" s="41">
        <f>F123*(1+IF(ISNUMBER(Assumptions!$H$53),Assumptions!$H$53,(Assumptions!J$5+Assumptions!$H$49)))</f>
        <v/>
      </c>
      <c r="H123" s="41">
        <f>G123*(1+IF(ISNUMBER(Assumptions!$H$53),Assumptions!$H$53,(Assumptions!K$5+Assumptions!$H$49)))</f>
        <v/>
      </c>
      <c r="I123" s="41">
        <f>H123*(1+(Assumptions!L$5+Assumptions!$H$49))</f>
        <v/>
      </c>
      <c r="J123" s="41">
        <f>I123*(1+(Assumptions!M$5+Assumptions!$H$49))</f>
        <v/>
      </c>
      <c r="K123" s="41">
        <f>J123*(1+(Assumptions!N$5+Assumptions!$H$49))</f>
        <v/>
      </c>
      <c r="L123" s="41">
        <f>K123*(1+(Assumptions!O$5+Assumptions!$H$49))</f>
        <v/>
      </c>
      <c r="M123" s="41">
        <f>L123*(1+(Assumptions!P$5+Assumptions!$H$49))</f>
        <v/>
      </c>
    </row>
    <row r="124">
      <c r="B124" s="100" t="inlineStr">
        <is>
          <t xml:space="preserve">   Client revenue</t>
        </is>
      </c>
      <c r="C124" s="61">
        <f>Assumptions!$F$12</f>
        <v/>
      </c>
      <c r="D124" s="41">
        <f>C124*(1+Assumptions!G$6)</f>
        <v/>
      </c>
      <c r="E124" s="41">
        <f>D124*(1+(Assumptions!H$6+Assumptions!$H$49))</f>
        <v/>
      </c>
      <c r="F124" s="41">
        <f>E124*(1+(Assumptions!I$6+Assumptions!$H$49))</f>
        <v/>
      </c>
      <c r="G124" s="41">
        <f>F124*(1+(Assumptions!J$6+Assumptions!$H$49))</f>
        <v/>
      </c>
      <c r="H124" s="41">
        <f>G124*(1+(Assumptions!K$6+Assumptions!$H$49))</f>
        <v/>
      </c>
      <c r="I124" s="41">
        <f>H124*(1+(Assumptions!L$6+Assumptions!$H$49))</f>
        <v/>
      </c>
      <c r="J124" s="41">
        <f>I124*(1+(Assumptions!M$6+Assumptions!$H$49))</f>
        <v/>
      </c>
      <c r="K124" s="41">
        <f>J124*(1+(Assumptions!N$6+Assumptions!$H$49))</f>
        <v/>
      </c>
      <c r="L124" s="41">
        <f>K124*(1+(Assumptions!O$6+Assumptions!$H$49))</f>
        <v/>
      </c>
      <c r="M124" s="41">
        <f>L124*(1+(Assumptions!P$6+Assumptions!$H$49))</f>
        <v/>
      </c>
    </row>
    <row r="125">
      <c r="B125" s="100" t="inlineStr">
        <is>
          <t xml:space="preserve">   Gaming revenue</t>
        </is>
      </c>
      <c r="C125" s="61">
        <f>Assumptions!$F$13</f>
        <v/>
      </c>
      <c r="D125" s="41">
        <f>C125*(1+Assumptions!G$7)</f>
        <v/>
      </c>
      <c r="E125" s="41">
        <f>D125*(1+(Assumptions!H$7+Assumptions!$H$49))</f>
        <v/>
      </c>
      <c r="F125" s="41">
        <f>E125*(1+(Assumptions!I$7+Assumptions!$H$49))</f>
        <v/>
      </c>
      <c r="G125" s="41">
        <f>F125*(1+(Assumptions!J$7+Assumptions!$H$49))</f>
        <v/>
      </c>
      <c r="H125" s="41">
        <f>G125*(1+(Assumptions!K$7+Assumptions!$H$49))</f>
        <v/>
      </c>
      <c r="I125" s="41">
        <f>H125*(1+(Assumptions!L$7+Assumptions!$H$49))</f>
        <v/>
      </c>
      <c r="J125" s="41">
        <f>I125*(1+(Assumptions!M$7+Assumptions!$H$49))</f>
        <v/>
      </c>
      <c r="K125" s="41">
        <f>J125*(1+(Assumptions!N$7+Assumptions!$H$49))</f>
        <v/>
      </c>
      <c r="L125" s="41">
        <f>K125*(1+(Assumptions!O$7+Assumptions!$H$49))</f>
        <v/>
      </c>
      <c r="M125" s="41">
        <f>L125*(1+(Assumptions!P$7+Assumptions!$H$49))</f>
        <v/>
      </c>
    </row>
    <row r="126">
      <c r="B126" s="100" t="inlineStr">
        <is>
          <t xml:space="preserve">   Embedded revenue</t>
        </is>
      </c>
      <c r="C126" s="61">
        <f>Assumptions!$F$14</f>
        <v/>
      </c>
      <c r="D126" s="41">
        <f>C126*(1+Assumptions!G$8)</f>
        <v/>
      </c>
      <c r="E126" s="41">
        <f>D126*(1+(Assumptions!H$8+Assumptions!$H$49))</f>
        <v/>
      </c>
      <c r="F126" s="41">
        <f>E126*(1+(Assumptions!I$8+Assumptions!$H$49))</f>
        <v/>
      </c>
      <c r="G126" s="41">
        <f>F126*(1+(Assumptions!J$8+Assumptions!$H$49))</f>
        <v/>
      </c>
      <c r="H126" s="41">
        <f>G126*(1+(Assumptions!K$8+Assumptions!$H$49))</f>
        <v/>
      </c>
      <c r="I126" s="41">
        <f>H126*(1+(Assumptions!L$8+Assumptions!$H$49))</f>
        <v/>
      </c>
      <c r="J126" s="41">
        <f>I126*(1+(Assumptions!M$8+Assumptions!$H$49))</f>
        <v/>
      </c>
      <c r="K126" s="41">
        <f>J126*(1+(Assumptions!N$8+Assumptions!$H$49))</f>
        <v/>
      </c>
      <c r="L126" s="41">
        <f>K126*(1+(Assumptions!O$8+Assumptions!$H$49))</f>
        <v/>
      </c>
      <c r="M126" s="41">
        <f>L126*(1+(Assumptions!P$8+Assumptions!$H$49))</f>
        <v/>
      </c>
    </row>
    <row r="127">
      <c r="B127" s="99" t="inlineStr">
        <is>
          <t xml:space="preserve">   Total revenue</t>
        </is>
      </c>
      <c r="C127" s="59">
        <f>SUM(C123:C126)</f>
        <v/>
      </c>
      <c r="D127" s="59">
        <f>SUM(D123:D126)</f>
        <v/>
      </c>
      <c r="E127" s="59">
        <f>SUM(E123:E126)</f>
        <v/>
      </c>
      <c r="F127" s="59">
        <f>SUM(F123:F126)</f>
        <v/>
      </c>
      <c r="G127" s="59">
        <f>SUM(G123:G126)</f>
        <v/>
      </c>
      <c r="H127" s="59">
        <f>SUM(H123:H126)</f>
        <v/>
      </c>
      <c r="I127" s="59">
        <f>SUM(I123:I126)</f>
        <v/>
      </c>
      <c r="J127" s="59">
        <f>SUM(J123:J126)</f>
        <v/>
      </c>
      <c r="K127" s="59">
        <f>SUM(K123:K126)</f>
        <v/>
      </c>
      <c r="L127" s="59">
        <f>SUM(L123:L126)</f>
        <v/>
      </c>
      <c r="M127" s="59">
        <f>SUM(M123:M126)</f>
        <v/>
      </c>
    </row>
    <row r="128">
      <c r="B128" s="100" t="inlineStr">
        <is>
          <t xml:space="preserve">   EBITDA</t>
        </is>
      </c>
      <c r="D128" s="41">
        <f>D127*(Assumptions!G$19)</f>
        <v/>
      </c>
      <c r="E128" s="41">
        <f>E127*(Assumptions!H$19+Assumptions!$H$50)</f>
        <v/>
      </c>
      <c r="F128" s="41">
        <f>F127*(Assumptions!I$19+Assumptions!$H$50)</f>
        <v/>
      </c>
      <c r="G128" s="41">
        <f>G127*(Assumptions!J$19+Assumptions!$H$50)</f>
        <v/>
      </c>
      <c r="H128" s="41">
        <f>H127*(Assumptions!K$19+Assumptions!$H$50)</f>
        <v/>
      </c>
      <c r="I128" s="41">
        <f>I127*(Assumptions!L$19+Assumptions!$H$50)</f>
        <v/>
      </c>
      <c r="J128" s="41">
        <f>J127*(Assumptions!M$19+Assumptions!$H$50)</f>
        <v/>
      </c>
      <c r="K128" s="41">
        <f>K127*(Assumptions!N$19+Assumptions!$H$50)</f>
        <v/>
      </c>
      <c r="L128" s="41">
        <f>L127*(Assumptions!O$19+Assumptions!$H$50)</f>
        <v/>
      </c>
      <c r="M128" s="41">
        <f>M127*(Assumptions!P$19+Assumptions!$H$50)</f>
        <v/>
      </c>
    </row>
    <row r="129">
      <c r="B129" s="100" t="inlineStr">
        <is>
          <t xml:space="preserve">   D&amp;A</t>
        </is>
      </c>
      <c r="D129" s="41">
        <f>Assumptions!G$20</f>
        <v/>
      </c>
      <c r="E129" s="41">
        <f>Assumptions!H$20</f>
        <v/>
      </c>
      <c r="F129" s="41">
        <f>Assumptions!I$20</f>
        <v/>
      </c>
      <c r="G129" s="41">
        <f>Assumptions!J$20</f>
        <v/>
      </c>
      <c r="H129" s="41">
        <f>Assumptions!K$20</f>
        <v/>
      </c>
      <c r="I129" s="41">
        <f>Assumptions!L$20</f>
        <v/>
      </c>
      <c r="J129" s="41">
        <f>Assumptions!M$20</f>
        <v/>
      </c>
      <c r="K129" s="41">
        <f>Assumptions!N$20</f>
        <v/>
      </c>
      <c r="L129" s="41">
        <f>Assumptions!O$20</f>
        <v/>
      </c>
      <c r="M129" s="41">
        <f>Assumptions!P$20</f>
        <v/>
      </c>
    </row>
    <row r="130">
      <c r="B130" s="100" t="inlineStr">
        <is>
          <t xml:space="preserve">   EBIT</t>
        </is>
      </c>
      <c r="D130" s="41">
        <f>D128-D129</f>
        <v/>
      </c>
      <c r="E130" s="41">
        <f>E128-E129</f>
        <v/>
      </c>
      <c r="F130" s="41">
        <f>F128-F129</f>
        <v/>
      </c>
      <c r="G130" s="41">
        <f>G128-G129</f>
        <v/>
      </c>
      <c r="H130" s="41">
        <f>H128-H129</f>
        <v/>
      </c>
      <c r="I130" s="41">
        <f>I128-I129</f>
        <v/>
      </c>
      <c r="J130" s="41">
        <f>J128-J129</f>
        <v/>
      </c>
      <c r="K130" s="41">
        <f>K128-K129</f>
        <v/>
      </c>
      <c r="L130" s="41">
        <f>L128-L129</f>
        <v/>
      </c>
      <c r="M130" s="41">
        <f>M128-M129</f>
        <v/>
      </c>
    </row>
    <row r="131">
      <c r="B131" s="100" t="inlineStr">
        <is>
          <t xml:space="preserve">   Cash taxes</t>
        </is>
      </c>
      <c r="D131" s="41">
        <f>-MAX(0,D130)*Assumptions!G$21</f>
        <v/>
      </c>
      <c r="E131" s="41">
        <f>-MAX(0,E130)*Assumptions!H$21</f>
        <v/>
      </c>
      <c r="F131" s="41">
        <f>-MAX(0,F130)*Assumptions!I$21</f>
        <v/>
      </c>
      <c r="G131" s="41">
        <f>-MAX(0,G130)*Assumptions!J$21</f>
        <v/>
      </c>
      <c r="H131" s="41">
        <f>-MAX(0,H130)*Assumptions!K$21</f>
        <v/>
      </c>
      <c r="I131" s="41">
        <f>-MAX(0,I130)*Assumptions!L$21</f>
        <v/>
      </c>
      <c r="J131" s="41">
        <f>-MAX(0,J130)*Assumptions!M$21</f>
        <v/>
      </c>
      <c r="K131" s="41">
        <f>-MAX(0,K130)*Assumptions!N$21</f>
        <v/>
      </c>
      <c r="L131" s="41">
        <f>-MAX(0,L130)*Assumptions!O$21</f>
        <v/>
      </c>
      <c r="M131" s="41">
        <f>-MAX(0,M130)*Assumptions!P$21</f>
        <v/>
      </c>
    </row>
    <row r="132">
      <c r="B132" s="100" t="inlineStr">
        <is>
          <t xml:space="preserve">   Capex</t>
        </is>
      </c>
      <c r="D132" s="41">
        <f>-Assumptions!G$22</f>
        <v/>
      </c>
      <c r="E132" s="41">
        <f>-Assumptions!H$22</f>
        <v/>
      </c>
      <c r="F132" s="41">
        <f>-Assumptions!I$22</f>
        <v/>
      </c>
      <c r="G132" s="41">
        <f>-Assumptions!J$22</f>
        <v/>
      </c>
      <c r="H132" s="41">
        <f>-Assumptions!K$22</f>
        <v/>
      </c>
      <c r="I132" s="41">
        <f>-Assumptions!L$22</f>
        <v/>
      </c>
      <c r="J132" s="41">
        <f>-Assumptions!M$22</f>
        <v/>
      </c>
      <c r="K132" s="41">
        <f>-Assumptions!N$22</f>
        <v/>
      </c>
      <c r="L132" s="41">
        <f>-Assumptions!O$22</f>
        <v/>
      </c>
      <c r="M132" s="41">
        <f>-Assumptions!P$22</f>
        <v/>
      </c>
    </row>
    <row r="133">
      <c r="B133" s="100" t="inlineStr">
        <is>
          <t xml:space="preserve">   Δ Working capital</t>
        </is>
      </c>
      <c r="D133" s="41">
        <f>-(D127-C127)*Assumptions!G$23</f>
        <v/>
      </c>
      <c r="E133" s="41">
        <f>-(E127-D127)*Assumptions!H$23</f>
        <v/>
      </c>
      <c r="F133" s="41">
        <f>-(F127-E127)*Assumptions!I$23</f>
        <v/>
      </c>
      <c r="G133" s="41">
        <f>-(G127-F127)*Assumptions!J$23</f>
        <v/>
      </c>
      <c r="H133" s="41">
        <f>-(H127-G127)*Assumptions!K$23</f>
        <v/>
      </c>
      <c r="I133" s="41">
        <f>-(I127-H127)*Assumptions!L$23</f>
        <v/>
      </c>
      <c r="J133" s="41">
        <f>-(J127-I127)*Assumptions!M$23</f>
        <v/>
      </c>
      <c r="K133" s="41">
        <f>-(K127-J127)*Assumptions!N$23</f>
        <v/>
      </c>
      <c r="L133" s="41">
        <f>-(L127-K127)*Assumptions!O$23</f>
        <v/>
      </c>
      <c r="M133" s="41">
        <f>-(M127-L127)*Assumptions!P$23</f>
        <v/>
      </c>
    </row>
    <row r="134">
      <c r="B134" s="99" t="inlineStr">
        <is>
          <t xml:space="preserve">   Unlevered FCF</t>
        </is>
      </c>
      <c r="D134" s="59">
        <f>D130+D131+D129+D132+D133</f>
        <v/>
      </c>
      <c r="E134" s="59">
        <f>E130+E131+E129+E132+E133</f>
        <v/>
      </c>
      <c r="F134" s="59">
        <f>F130+F131+F129+F132+F133</f>
        <v/>
      </c>
      <c r="G134" s="59">
        <f>G130+G131+G129+G132+G133</f>
        <v/>
      </c>
      <c r="H134" s="59">
        <f>H130+H131+H129+H132+H133</f>
        <v/>
      </c>
      <c r="I134" s="59">
        <f>I130+I131+I129+I132+I133</f>
        <v/>
      </c>
      <c r="J134" s="59">
        <f>J130+J131+J129+J132+J133</f>
        <v/>
      </c>
      <c r="K134" s="59">
        <f>K130+K131+K129+K132+K133</f>
        <v/>
      </c>
      <c r="L134" s="59">
        <f>L130+L131+L129+L132+L133</f>
        <v/>
      </c>
      <c r="M134" s="59">
        <f>M130+M131+M129+M132+M133</f>
        <v/>
      </c>
      <c r="N134" s="51">
        <f>DCF!$C$14+Assumptions!$H$51</f>
        <v/>
      </c>
    </row>
    <row r="135">
      <c r="B135" s="100" t="inlineStr">
        <is>
          <t xml:space="preserve">   PV of FCF (stub &amp; mid-year)</t>
        </is>
      </c>
      <c r="D135" s="41">
        <f>D134*DCF!D$18/(1+$N$134)^DCF!D$19</f>
        <v/>
      </c>
      <c r="E135" s="41">
        <f>E134*DCF!E$18/(1+$N$134)^DCF!E$19</f>
        <v/>
      </c>
      <c r="F135" s="41">
        <f>F134*DCF!F$18/(1+$N$134)^DCF!F$19</f>
        <v/>
      </c>
      <c r="G135" s="41">
        <f>G134*DCF!G$18/(1+$N$134)^DCF!G$19</f>
        <v/>
      </c>
      <c r="H135" s="41">
        <f>H134*DCF!H$18/(1+$N$134)^DCF!H$19</f>
        <v/>
      </c>
      <c r="I135" s="41">
        <f>I134*DCF!I$18/(1+$N$134)^DCF!I$19</f>
        <v/>
      </c>
      <c r="J135" s="41">
        <f>J134*DCF!J$18/(1+$N$134)^DCF!J$19</f>
        <v/>
      </c>
      <c r="K135" s="41">
        <f>K134*DCF!K$18/(1+$N$134)^DCF!K$19</f>
        <v/>
      </c>
      <c r="L135" s="41">
        <f>L134*DCF!L$18/(1+$N$134)^DCF!L$19</f>
        <v/>
      </c>
      <c r="M135" s="41">
        <f>M134*DCF!M$18/(1+$N$134)^DCF!M$19</f>
        <v/>
      </c>
      <c r="N135" s="51">
        <f>Assumptions!$H$52</f>
        <v/>
      </c>
    </row>
    <row r="136">
      <c r="B136" s="99" t="inlineStr">
        <is>
          <t xml:space="preserve">   DC Bull value per share</t>
        </is>
      </c>
      <c r="C136" s="71">
        <f>(SUM(D135:M135)+M134*(1+$N$135)/($N$134-$N$135)/(1+$N$134)^DCF!$M$19+DCF!$C$31-DCF!$C$32)/DCF!$C$34</f>
        <v/>
      </c>
    </row>
    <row r="138">
      <c r="B138" s="99" t="inlineStr">
        <is>
          <t>DC Super Bull · Data Center revenue</t>
        </is>
      </c>
      <c r="C138" s="61">
        <f>Assumptions!$F$11</f>
        <v/>
      </c>
      <c r="D138" s="41">
        <f>C138*(1+Assumptions!G$5)</f>
        <v/>
      </c>
      <c r="E138" s="41">
        <f>D138*(1+IF(ISNUMBER(Assumptions!$I$53),Assumptions!$I$53,(Assumptions!H$5+Assumptions!$I$49)))</f>
        <v/>
      </c>
      <c r="F138" s="41">
        <f>E138*(1+IF(ISNUMBER(Assumptions!$I$53),Assumptions!$I$53,(Assumptions!I$5+Assumptions!$I$49)))</f>
        <v/>
      </c>
      <c r="G138" s="41">
        <f>F138*(1+IF(ISNUMBER(Assumptions!$I$53),Assumptions!$I$53,(Assumptions!J$5+Assumptions!$I$49)))</f>
        <v/>
      </c>
      <c r="H138" s="41">
        <f>G138*(1+IF(ISNUMBER(Assumptions!$I$53),Assumptions!$I$53,(Assumptions!K$5+Assumptions!$I$49)))</f>
        <v/>
      </c>
      <c r="I138" s="41">
        <f>H138*(1+(Assumptions!L$5+Assumptions!$I$49))</f>
        <v/>
      </c>
      <c r="J138" s="41">
        <f>I138*(1+(Assumptions!M$5+Assumptions!$I$49))</f>
        <v/>
      </c>
      <c r="K138" s="41">
        <f>J138*(1+(Assumptions!N$5+Assumptions!$I$49))</f>
        <v/>
      </c>
      <c r="L138" s="41">
        <f>K138*(1+(Assumptions!O$5+Assumptions!$I$49))</f>
        <v/>
      </c>
      <c r="M138" s="41">
        <f>L138*(1+(Assumptions!P$5+Assumptions!$I$49))</f>
        <v/>
      </c>
    </row>
    <row r="139">
      <c r="B139" s="100" t="inlineStr">
        <is>
          <t xml:space="preserve">   Client revenue</t>
        </is>
      </c>
      <c r="C139" s="61">
        <f>Assumptions!$F$12</f>
        <v/>
      </c>
      <c r="D139" s="41">
        <f>C139*(1+Assumptions!G$6)</f>
        <v/>
      </c>
      <c r="E139" s="41">
        <f>D139*(1+(Assumptions!H$6+Assumptions!$I$49))</f>
        <v/>
      </c>
      <c r="F139" s="41">
        <f>E139*(1+(Assumptions!I$6+Assumptions!$I$49))</f>
        <v/>
      </c>
      <c r="G139" s="41">
        <f>F139*(1+(Assumptions!J$6+Assumptions!$I$49))</f>
        <v/>
      </c>
      <c r="H139" s="41">
        <f>G139*(1+(Assumptions!K$6+Assumptions!$I$49))</f>
        <v/>
      </c>
      <c r="I139" s="41">
        <f>H139*(1+(Assumptions!L$6+Assumptions!$I$49))</f>
        <v/>
      </c>
      <c r="J139" s="41">
        <f>I139*(1+(Assumptions!M$6+Assumptions!$I$49))</f>
        <v/>
      </c>
      <c r="K139" s="41">
        <f>J139*(1+(Assumptions!N$6+Assumptions!$I$49))</f>
        <v/>
      </c>
      <c r="L139" s="41">
        <f>K139*(1+(Assumptions!O$6+Assumptions!$I$49))</f>
        <v/>
      </c>
      <c r="M139" s="41">
        <f>L139*(1+(Assumptions!P$6+Assumptions!$I$49))</f>
        <v/>
      </c>
    </row>
    <row r="140">
      <c r="B140" s="100" t="inlineStr">
        <is>
          <t xml:space="preserve">   Gaming revenue</t>
        </is>
      </c>
      <c r="C140" s="61">
        <f>Assumptions!$F$13</f>
        <v/>
      </c>
      <c r="D140" s="41">
        <f>C140*(1+Assumptions!G$7)</f>
        <v/>
      </c>
      <c r="E140" s="41">
        <f>D140*(1+(Assumptions!H$7+Assumptions!$I$49))</f>
        <v/>
      </c>
      <c r="F140" s="41">
        <f>E140*(1+(Assumptions!I$7+Assumptions!$I$49))</f>
        <v/>
      </c>
      <c r="G140" s="41">
        <f>F140*(1+(Assumptions!J$7+Assumptions!$I$49))</f>
        <v/>
      </c>
      <c r="H140" s="41">
        <f>G140*(1+(Assumptions!K$7+Assumptions!$I$49))</f>
        <v/>
      </c>
      <c r="I140" s="41">
        <f>H140*(1+(Assumptions!L$7+Assumptions!$I$49))</f>
        <v/>
      </c>
      <c r="J140" s="41">
        <f>I140*(1+(Assumptions!M$7+Assumptions!$I$49))</f>
        <v/>
      </c>
      <c r="K140" s="41">
        <f>J140*(1+(Assumptions!N$7+Assumptions!$I$49))</f>
        <v/>
      </c>
      <c r="L140" s="41">
        <f>K140*(1+(Assumptions!O$7+Assumptions!$I$49))</f>
        <v/>
      </c>
      <c r="M140" s="41">
        <f>L140*(1+(Assumptions!P$7+Assumptions!$I$49))</f>
        <v/>
      </c>
    </row>
    <row r="141">
      <c r="B141" s="100" t="inlineStr">
        <is>
          <t xml:space="preserve">   Embedded revenue</t>
        </is>
      </c>
      <c r="C141" s="61">
        <f>Assumptions!$F$14</f>
        <v/>
      </c>
      <c r="D141" s="41">
        <f>C141*(1+Assumptions!G$8)</f>
        <v/>
      </c>
      <c r="E141" s="41">
        <f>D141*(1+(Assumptions!H$8+Assumptions!$I$49))</f>
        <v/>
      </c>
      <c r="F141" s="41">
        <f>E141*(1+(Assumptions!I$8+Assumptions!$I$49))</f>
        <v/>
      </c>
      <c r="G141" s="41">
        <f>F141*(1+(Assumptions!J$8+Assumptions!$I$49))</f>
        <v/>
      </c>
      <c r="H141" s="41">
        <f>G141*(1+(Assumptions!K$8+Assumptions!$I$49))</f>
        <v/>
      </c>
      <c r="I141" s="41">
        <f>H141*(1+(Assumptions!L$8+Assumptions!$I$49))</f>
        <v/>
      </c>
      <c r="J141" s="41">
        <f>I141*(1+(Assumptions!M$8+Assumptions!$I$49))</f>
        <v/>
      </c>
      <c r="K141" s="41">
        <f>J141*(1+(Assumptions!N$8+Assumptions!$I$49))</f>
        <v/>
      </c>
      <c r="L141" s="41">
        <f>K141*(1+(Assumptions!O$8+Assumptions!$I$49))</f>
        <v/>
      </c>
      <c r="M141" s="41">
        <f>L141*(1+(Assumptions!P$8+Assumptions!$I$49))</f>
        <v/>
      </c>
    </row>
    <row r="142">
      <c r="B142" s="99" t="inlineStr">
        <is>
          <t xml:space="preserve">   Total revenue</t>
        </is>
      </c>
      <c r="C142" s="59">
        <f>SUM(C138:C141)</f>
        <v/>
      </c>
      <c r="D142" s="59">
        <f>SUM(D138:D141)</f>
        <v/>
      </c>
      <c r="E142" s="59">
        <f>SUM(E138:E141)</f>
        <v/>
      </c>
      <c r="F142" s="59">
        <f>SUM(F138:F141)</f>
        <v/>
      </c>
      <c r="G142" s="59">
        <f>SUM(G138:G141)</f>
        <v/>
      </c>
      <c r="H142" s="59">
        <f>SUM(H138:H141)</f>
        <v/>
      </c>
      <c r="I142" s="59">
        <f>SUM(I138:I141)</f>
        <v/>
      </c>
      <c r="J142" s="59">
        <f>SUM(J138:J141)</f>
        <v/>
      </c>
      <c r="K142" s="59">
        <f>SUM(K138:K141)</f>
        <v/>
      </c>
      <c r="L142" s="59">
        <f>SUM(L138:L141)</f>
        <v/>
      </c>
      <c r="M142" s="59">
        <f>SUM(M138:M141)</f>
        <v/>
      </c>
    </row>
    <row r="143">
      <c r="B143" s="100" t="inlineStr">
        <is>
          <t xml:space="preserve">   EBITDA</t>
        </is>
      </c>
      <c r="D143" s="41">
        <f>D142*(Assumptions!G$19)</f>
        <v/>
      </c>
      <c r="E143" s="41">
        <f>E142*(Assumptions!H$19+Assumptions!$I$50)</f>
        <v/>
      </c>
      <c r="F143" s="41">
        <f>F142*(Assumptions!I$19+Assumptions!$I$50)</f>
        <v/>
      </c>
      <c r="G143" s="41">
        <f>G142*(Assumptions!J$19+Assumptions!$I$50)</f>
        <v/>
      </c>
      <c r="H143" s="41">
        <f>H142*(Assumptions!K$19+Assumptions!$I$50)</f>
        <v/>
      </c>
      <c r="I143" s="41">
        <f>I142*(Assumptions!L$19+Assumptions!$I$50)</f>
        <v/>
      </c>
      <c r="J143" s="41">
        <f>J142*(Assumptions!M$19+Assumptions!$I$50)</f>
        <v/>
      </c>
      <c r="K143" s="41">
        <f>K142*(Assumptions!N$19+Assumptions!$I$50)</f>
        <v/>
      </c>
      <c r="L143" s="41">
        <f>L142*(Assumptions!O$19+Assumptions!$I$50)</f>
        <v/>
      </c>
      <c r="M143" s="41">
        <f>M142*(Assumptions!P$19+Assumptions!$I$50)</f>
        <v/>
      </c>
    </row>
    <row r="144">
      <c r="B144" s="100" t="inlineStr">
        <is>
          <t xml:space="preserve">   D&amp;A</t>
        </is>
      </c>
      <c r="D144" s="41">
        <f>Assumptions!G$20</f>
        <v/>
      </c>
      <c r="E144" s="41">
        <f>Assumptions!H$20</f>
        <v/>
      </c>
      <c r="F144" s="41">
        <f>Assumptions!I$20</f>
        <v/>
      </c>
      <c r="G144" s="41">
        <f>Assumptions!J$20</f>
        <v/>
      </c>
      <c r="H144" s="41">
        <f>Assumptions!K$20</f>
        <v/>
      </c>
      <c r="I144" s="41">
        <f>Assumptions!L$20</f>
        <v/>
      </c>
      <c r="J144" s="41">
        <f>Assumptions!M$20</f>
        <v/>
      </c>
      <c r="K144" s="41">
        <f>Assumptions!N$20</f>
        <v/>
      </c>
      <c r="L144" s="41">
        <f>Assumptions!O$20</f>
        <v/>
      </c>
      <c r="M144" s="41">
        <f>Assumptions!P$20</f>
        <v/>
      </c>
    </row>
    <row r="145">
      <c r="B145" s="100" t="inlineStr">
        <is>
          <t xml:space="preserve">   EBIT</t>
        </is>
      </c>
      <c r="D145" s="41">
        <f>D143-D144</f>
        <v/>
      </c>
      <c r="E145" s="41">
        <f>E143-E144</f>
        <v/>
      </c>
      <c r="F145" s="41">
        <f>F143-F144</f>
        <v/>
      </c>
      <c r="G145" s="41">
        <f>G143-G144</f>
        <v/>
      </c>
      <c r="H145" s="41">
        <f>H143-H144</f>
        <v/>
      </c>
      <c r="I145" s="41">
        <f>I143-I144</f>
        <v/>
      </c>
      <c r="J145" s="41">
        <f>J143-J144</f>
        <v/>
      </c>
      <c r="K145" s="41">
        <f>K143-K144</f>
        <v/>
      </c>
      <c r="L145" s="41">
        <f>L143-L144</f>
        <v/>
      </c>
      <c r="M145" s="41">
        <f>M143-M144</f>
        <v/>
      </c>
    </row>
    <row r="146">
      <c r="B146" s="100" t="inlineStr">
        <is>
          <t xml:space="preserve">   Cash taxes</t>
        </is>
      </c>
      <c r="D146" s="41">
        <f>-MAX(0,D145)*Assumptions!G$21</f>
        <v/>
      </c>
      <c r="E146" s="41">
        <f>-MAX(0,E145)*Assumptions!H$21</f>
        <v/>
      </c>
      <c r="F146" s="41">
        <f>-MAX(0,F145)*Assumptions!I$21</f>
        <v/>
      </c>
      <c r="G146" s="41">
        <f>-MAX(0,G145)*Assumptions!J$21</f>
        <v/>
      </c>
      <c r="H146" s="41">
        <f>-MAX(0,H145)*Assumptions!K$21</f>
        <v/>
      </c>
      <c r="I146" s="41">
        <f>-MAX(0,I145)*Assumptions!L$21</f>
        <v/>
      </c>
      <c r="J146" s="41">
        <f>-MAX(0,J145)*Assumptions!M$21</f>
        <v/>
      </c>
      <c r="K146" s="41">
        <f>-MAX(0,K145)*Assumptions!N$21</f>
        <v/>
      </c>
      <c r="L146" s="41">
        <f>-MAX(0,L145)*Assumptions!O$21</f>
        <v/>
      </c>
      <c r="M146" s="41">
        <f>-MAX(0,M145)*Assumptions!P$21</f>
        <v/>
      </c>
    </row>
    <row r="147">
      <c r="B147" s="100" t="inlineStr">
        <is>
          <t xml:space="preserve">   Capex</t>
        </is>
      </c>
      <c r="D147" s="41">
        <f>-Assumptions!G$22</f>
        <v/>
      </c>
      <c r="E147" s="41">
        <f>-Assumptions!H$22</f>
        <v/>
      </c>
      <c r="F147" s="41">
        <f>-Assumptions!I$22</f>
        <v/>
      </c>
      <c r="G147" s="41">
        <f>-Assumptions!J$22</f>
        <v/>
      </c>
      <c r="H147" s="41">
        <f>-Assumptions!K$22</f>
        <v/>
      </c>
      <c r="I147" s="41">
        <f>-Assumptions!L$22</f>
        <v/>
      </c>
      <c r="J147" s="41">
        <f>-Assumptions!M$22</f>
        <v/>
      </c>
      <c r="K147" s="41">
        <f>-Assumptions!N$22</f>
        <v/>
      </c>
      <c r="L147" s="41">
        <f>-Assumptions!O$22</f>
        <v/>
      </c>
      <c r="M147" s="41">
        <f>-Assumptions!P$22</f>
        <v/>
      </c>
    </row>
    <row r="148">
      <c r="B148" s="100" t="inlineStr">
        <is>
          <t xml:space="preserve">   Δ Working capital</t>
        </is>
      </c>
      <c r="D148" s="41">
        <f>-(D142-C142)*Assumptions!G$23</f>
        <v/>
      </c>
      <c r="E148" s="41">
        <f>-(E142-D142)*Assumptions!H$23</f>
        <v/>
      </c>
      <c r="F148" s="41">
        <f>-(F142-E142)*Assumptions!I$23</f>
        <v/>
      </c>
      <c r="G148" s="41">
        <f>-(G142-F142)*Assumptions!J$23</f>
        <v/>
      </c>
      <c r="H148" s="41">
        <f>-(H142-G142)*Assumptions!K$23</f>
        <v/>
      </c>
      <c r="I148" s="41">
        <f>-(I142-H142)*Assumptions!L$23</f>
        <v/>
      </c>
      <c r="J148" s="41">
        <f>-(J142-I142)*Assumptions!M$23</f>
        <v/>
      </c>
      <c r="K148" s="41">
        <f>-(K142-J142)*Assumptions!N$23</f>
        <v/>
      </c>
      <c r="L148" s="41">
        <f>-(L142-K142)*Assumptions!O$23</f>
        <v/>
      </c>
      <c r="M148" s="41">
        <f>-(M142-L142)*Assumptions!P$23</f>
        <v/>
      </c>
    </row>
    <row r="149">
      <c r="B149" s="99" t="inlineStr">
        <is>
          <t xml:space="preserve">   Unlevered FCF</t>
        </is>
      </c>
      <c r="D149" s="59">
        <f>D145+D146+D144+D147+D148</f>
        <v/>
      </c>
      <c r="E149" s="59">
        <f>E145+E146+E144+E147+E148</f>
        <v/>
      </c>
      <c r="F149" s="59">
        <f>F145+F146+F144+F147+F148</f>
        <v/>
      </c>
      <c r="G149" s="59">
        <f>G145+G146+G144+G147+G148</f>
        <v/>
      </c>
      <c r="H149" s="59">
        <f>H145+H146+H144+H147+H148</f>
        <v/>
      </c>
      <c r="I149" s="59">
        <f>I145+I146+I144+I147+I148</f>
        <v/>
      </c>
      <c r="J149" s="59">
        <f>J145+J146+J144+J147+J148</f>
        <v/>
      </c>
      <c r="K149" s="59">
        <f>K145+K146+K144+K147+K148</f>
        <v/>
      </c>
      <c r="L149" s="59">
        <f>L145+L146+L144+L147+L148</f>
        <v/>
      </c>
      <c r="M149" s="59">
        <f>M145+M146+M144+M147+M148</f>
        <v/>
      </c>
      <c r="N149" s="51">
        <f>DCF!$C$14+Assumptions!$I$51</f>
        <v/>
      </c>
    </row>
    <row r="150">
      <c r="B150" s="100" t="inlineStr">
        <is>
          <t xml:space="preserve">   PV of FCF (stub &amp; mid-year)</t>
        </is>
      </c>
      <c r="D150" s="41">
        <f>D149*DCF!D$18/(1+$N$149)^DCF!D$19</f>
        <v/>
      </c>
      <c r="E150" s="41">
        <f>E149*DCF!E$18/(1+$N$149)^DCF!E$19</f>
        <v/>
      </c>
      <c r="F150" s="41">
        <f>F149*DCF!F$18/(1+$N$149)^DCF!F$19</f>
        <v/>
      </c>
      <c r="G150" s="41">
        <f>G149*DCF!G$18/(1+$N$149)^DCF!G$19</f>
        <v/>
      </c>
      <c r="H150" s="41">
        <f>H149*DCF!H$18/(1+$N$149)^DCF!H$19</f>
        <v/>
      </c>
      <c r="I150" s="41">
        <f>I149*DCF!I$18/(1+$N$149)^DCF!I$19</f>
        <v/>
      </c>
      <c r="J150" s="41">
        <f>J149*DCF!J$18/(1+$N$149)^DCF!J$19</f>
        <v/>
      </c>
      <c r="K150" s="41">
        <f>K149*DCF!K$18/(1+$N$149)^DCF!K$19</f>
        <v/>
      </c>
      <c r="L150" s="41">
        <f>L149*DCF!L$18/(1+$N$149)^DCF!L$19</f>
        <v/>
      </c>
      <c r="M150" s="41">
        <f>M149*DCF!M$18/(1+$N$149)^DCF!M$19</f>
        <v/>
      </c>
      <c r="N150" s="51">
        <f>Assumptions!$I$52</f>
        <v/>
      </c>
    </row>
    <row r="151">
      <c r="B151" s="99" t="inlineStr">
        <is>
          <t xml:space="preserve">   DC Super Bull value per share</t>
        </is>
      </c>
      <c r="C151" s="71">
        <f>(SUM(D150:M150)+M149*(1+$N$150)/($N$149-$N$150)/(1+$N$149)^DCF!$M$19+DCF!$C$31-DCF!$C$32)/DCF!$C$34</f>
        <v/>
      </c>
    </row>
    <row r="153" ht="4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</row>
    <row r="154">
      <c r="B154" s="27" t="inlineStr">
        <is>
          <t>Francisco Rodriguez  |  Financial Modeling Portfolio  |  github.com/Azyo1</t>
        </is>
      </c>
    </row>
  </sheetData>
  <mergeCells count="26">
    <mergeCell ref="B2:M2"/>
    <mergeCell ref="C15:D15"/>
    <mergeCell ref="B3:I3"/>
    <mergeCell ref="C14:D14"/>
    <mergeCell ref="E14:F14"/>
    <mergeCell ref="E17:F17"/>
    <mergeCell ref="G17:H17"/>
    <mergeCell ref="B12:I12"/>
    <mergeCell ref="C16:D16"/>
    <mergeCell ref="E19:F19"/>
    <mergeCell ref="G19:H19"/>
    <mergeCell ref="E13:F13"/>
    <mergeCell ref="G13:H13"/>
    <mergeCell ref="G18:H18"/>
    <mergeCell ref="E15:F15"/>
    <mergeCell ref="G15:H15"/>
    <mergeCell ref="G14:H14"/>
    <mergeCell ref="C17:D17"/>
    <mergeCell ref="E16:F16"/>
    <mergeCell ref="G16:H16"/>
    <mergeCell ref="C19:D19"/>
    <mergeCell ref="B46:M46"/>
    <mergeCell ref="C13:D13"/>
    <mergeCell ref="C18:D18"/>
    <mergeCell ref="E18:F18"/>
    <mergeCell ref="B32:I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2026-10-15T12:16:17Z</dcterms:created>
  <dcterms:modified xsi:type="dcterms:W3CDTF">2026-10-15T12:16:17Z</dcterms:modified>
</cp:coreProperties>
</file>