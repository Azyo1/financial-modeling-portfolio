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888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&quot;$&quot;#,##0.0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rgb="FF1F3864"/>
      <sz val="20"/>
    </font>
    <font>
      <name val="Calibri"/>
      <family val="2"/>
      <i val="1"/>
      <color rgb="FF595959"/>
      <sz val="10"/>
    </font>
    <font>
      <name val="Calibri"/>
      <family val="2"/>
      <color rgb="FF595959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8"/>
    </font>
    <font>
      <name val="Calibri"/>
      <family val="2"/>
      <color rgb="FF1F1F1F"/>
      <sz val="8"/>
    </font>
    <font>
      <name val="Calibri"/>
      <family val="2"/>
      <b val="1"/>
      <color rgb="FF1F3864"/>
      <sz val="8"/>
    </font>
    <font>
      <name val="Calibri"/>
      <family val="2"/>
      <b val="1"/>
      <color rgb="FFC00000"/>
      <sz val="8"/>
    </font>
    <font>
      <name val="Calibri"/>
      <family val="2"/>
      <i val="1"/>
      <color rgb="FF595959"/>
      <sz val="7"/>
    </font>
    <font>
      <name val="Calibri"/>
      <family val="2"/>
      <b val="1"/>
      <color rgb="FFFFFFFF"/>
      <sz val="9"/>
    </font>
    <font>
      <name val="Calibri"/>
      <family val="2"/>
      <color rgb="FF1F1F1F"/>
      <sz val="9"/>
    </font>
    <font>
      <name val="Calibri"/>
      <family val="2"/>
      <color rgb="FF1F3864"/>
      <sz val="9"/>
    </font>
    <font>
      <name val="Calibri"/>
      <family val="2"/>
      <b val="1"/>
      <color rgb="FF1F1F1F"/>
      <sz val="9"/>
    </font>
    <font>
      <name val="Calibri"/>
      <family val="2"/>
      <i val="1"/>
      <color rgb="FF1F1F1F"/>
      <sz val="9"/>
    </font>
    <font>
      <name val="Calibri"/>
      <family val="2"/>
      <b val="1"/>
      <color rgb="FF1F3864"/>
      <sz val="9"/>
    </font>
    <font>
      <name val="Calibri"/>
      <family val="2"/>
      <b val="1"/>
      <color rgb="FF375623"/>
      <sz val="9"/>
    </font>
    <font>
      <name val="Calibri"/>
      <family val="2"/>
      <color rgb="FF375623"/>
      <sz val="9"/>
    </font>
    <font>
      <name val="Calibri"/>
      <family val="2"/>
      <color rgb="FF9C5700"/>
      <sz val="9"/>
    </font>
    <font>
      <name val="Calibri"/>
      <family val="2"/>
      <b val="1"/>
      <color rgb="FFC00000"/>
      <sz val="9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7375E"/>
      </patternFill>
    </fill>
    <fill>
      <patternFill patternType="solid">
        <fgColor rgb="FF375623"/>
      </patternFill>
    </fill>
    <fill>
      <patternFill patternType="solid">
        <fgColor rgb="FFF5F5F5"/>
      </patternFill>
    </fill>
    <fill>
      <patternFill patternType="solid">
        <fgColor rgb="FFDBE5F1"/>
      </patternFill>
    </fill>
    <fill>
      <patternFill patternType="solid">
        <fgColor rgb="FFEBF1D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7" fillId="6" borderId="0" applyAlignment="1" pivotButton="0" quotePrefix="0" xfId="0">
      <alignment horizontal="right" vertical="center"/>
    </xf>
    <xf numFmtId="0" fontId="0" fillId="6" borderId="0" pivotButton="0" quotePrefix="0" xfId="0"/>
    <xf numFmtId="0" fontId="7" fillId="0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center" vertical="center"/>
    </xf>
    <xf numFmtId="164" fontId="11" fillId="6" borderId="0" applyAlignment="1" pivotButton="0" quotePrefix="0" xfId="0">
      <alignment horizontal="right" vertical="center"/>
    </xf>
    <xf numFmtId="164" fontId="12" fillId="7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right" vertical="center"/>
    </xf>
    <xf numFmtId="3" fontId="12" fillId="7" borderId="0" applyAlignment="1" pivotButton="0" quotePrefix="0" xfId="0">
      <alignment horizontal="right" vertical="center"/>
    </xf>
    <xf numFmtId="3" fontId="11" fillId="6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right" vertical="center"/>
    </xf>
    <xf numFmtId="0" fontId="13" fillId="6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3" fontId="11" fillId="8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right" vertical="center"/>
    </xf>
    <xf numFmtId="3" fontId="15" fillId="6" borderId="0" applyAlignment="1" pivotButton="0" quotePrefix="0" xfId="0">
      <alignment horizontal="right" vertical="center"/>
    </xf>
    <xf numFmtId="10" fontId="12" fillId="7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2" fontId="12" fillId="7" borderId="0" applyAlignment="1" pivotButton="0" quotePrefix="0" xfId="0">
      <alignment horizontal="right" vertical="center"/>
    </xf>
    <xf numFmtId="10" fontId="13" fillId="0" borderId="0" applyAlignment="1" pivotButton="0" quotePrefix="0" xfId="0">
      <alignment horizontal="right" vertical="center"/>
    </xf>
    <xf numFmtId="10" fontId="11" fillId="6" borderId="0" applyAlignment="1" pivotButton="0" quotePrefix="0" xfId="0">
      <alignment horizontal="right" vertical="center"/>
    </xf>
    <xf numFmtId="10" fontId="15" fillId="0" borderId="0" applyAlignment="1" pivotButton="0" quotePrefix="0" xfId="0">
      <alignment horizontal="right" vertical="center"/>
    </xf>
    <xf numFmtId="165" fontId="12" fillId="7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0" fontId="13" fillId="7" borderId="0" applyAlignment="1" pivotButton="0" quotePrefix="0" xfId="0">
      <alignment horizontal="left" vertical="center"/>
    </xf>
    <xf numFmtId="3" fontId="15" fillId="7" borderId="0" applyAlignment="1" pivotButton="0" quotePrefix="0" xfId="0">
      <alignment horizontal="right" vertical="center"/>
    </xf>
    <xf numFmtId="0" fontId="0" fillId="7" borderId="0" pivotButton="0" quotePrefix="0" xfId="0"/>
    <xf numFmtId="167" fontId="12" fillId="7" borderId="0" applyAlignment="1" pivotButton="0" quotePrefix="0" xfId="0">
      <alignment horizontal="right" vertical="center"/>
    </xf>
    <xf numFmtId="167" fontId="15" fillId="7" borderId="0" applyAlignment="1" pivotButton="0" quotePrefix="0" xfId="0">
      <alignment horizontal="right" vertical="center"/>
    </xf>
    <xf numFmtId="164" fontId="15" fillId="7" borderId="0" applyAlignment="1" pivotButton="0" quotePrefix="0" xfId="0">
      <alignment horizontal="right" vertical="center"/>
    </xf>
    <xf numFmtId="0" fontId="10" fillId="3" borderId="0" applyAlignment="1" pivotButton="0" quotePrefix="0" xfId="0">
      <alignment horizontal="right" vertical="center"/>
    </xf>
    <xf numFmtId="164" fontId="10" fillId="3" borderId="0" applyAlignment="1" pivotButton="0" quotePrefix="0" xfId="0">
      <alignment horizontal="center" vertical="center"/>
    </xf>
    <xf numFmtId="167" fontId="16" fillId="9" borderId="0" applyAlignment="1" pivotButton="0" quotePrefix="0" xfId="0">
      <alignment horizontal="center" vertical="center"/>
    </xf>
    <xf numFmtId="167" fontId="17" fillId="8" borderId="0" applyAlignment="1" pivotButton="0" quotePrefix="0" xfId="0">
      <alignment horizontal="center" vertical="center"/>
    </xf>
    <xf numFmtId="167" fontId="0" fillId="6" borderId="0" applyAlignment="1" pivotButton="0" quotePrefix="0" xfId="0">
      <alignment horizontal="center" vertical="center"/>
    </xf>
    <xf numFmtId="167" fontId="18" fillId="1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7" fontId="11" fillId="6" borderId="0" applyAlignment="1" pivotButton="0" quotePrefix="0" xfId="0">
      <alignment horizontal="right" vertical="center"/>
    </xf>
    <xf numFmtId="164" fontId="16" fillId="6" borderId="0" applyAlignment="1" pivotButton="0" quotePrefix="0" xfId="0">
      <alignment horizontal="right" vertical="center"/>
    </xf>
    <xf numFmtId="49" fontId="11" fillId="6" borderId="0" applyAlignment="1" pivotButton="0" quotePrefix="0" xfId="0">
      <alignment horizontal="center" vertical="center"/>
    </xf>
    <xf numFmtId="167" fontId="15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49" fontId="11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7" fontId="15" fillId="6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6" fillId="6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left" vertical="top" wrapText="1"/>
    </xf>
    <xf numFmtId="0" fontId="6" fillId="6" borderId="0" applyAlignment="1" pivotButton="0" quotePrefix="0" xfId="0">
      <alignment horizontal="left" vertical="top" wrapText="1"/>
    </xf>
    <xf numFmtId="0" fontId="5" fillId="4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7" fontId="15" fillId="7" borderId="0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0" fontId="15" fillId="6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tabSelected="1" workbookViewId="0">
      <selection activeCell="A1" sqref="A1"/>
    </sheetView>
  </sheetViews>
  <sheetFormatPr baseColWidth="10" defaultColWidth="8.83203125" defaultRowHeight="15"/>
  <cols>
    <col width="1.5" customWidth="1" style="62" min="1" max="1"/>
    <col width="16" customWidth="1" style="62" min="2" max="2"/>
    <col width="14" customWidth="1" style="62" min="3" max="8"/>
    <col width="10" customWidth="1" style="62" min="9" max="9"/>
  </cols>
  <sheetData>
    <row r="1" ht="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5" customHeight="1" s="62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40" customHeight="1" s="62">
      <c r="B3" s="66" t="inlineStr">
        <is>
          <t>Advanced Micro Devices, Inc.  (NASDAQ: AMD)</t>
        </is>
      </c>
    </row>
    <row r="4" ht="16" customHeight="1" s="62">
      <c r="B4" s="80" t="inlineStr">
        <is>
          <t>Equity Research  |  Initiating Coverage  |  February 2026</t>
        </is>
      </c>
    </row>
    <row r="5" ht="14" customHeight="1" s="62">
      <c r="B5" s="77" t="inlineStr">
        <is>
          <t>Semiconductors &amp; Semiconductor Equipment  |  Francisco Rodriguez</t>
        </is>
      </c>
    </row>
    <row r="6" ht="4" customHeight="1" s="62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38" customHeight="1" s="62">
      <c r="B7" s="65" t="inlineStr">
        <is>
          <t>RATING
OVERWEIGHT</t>
        </is>
      </c>
      <c r="D7" s="74" t="inlineStr">
        <is>
          <t>PRICE TARGET
$215</t>
        </is>
      </c>
      <c r="F7" s="69" t="inlineStr">
        <is>
          <t>CURRENT PRICE
$200¹</t>
        </is>
      </c>
      <c r="H7" s="75" t="inlineStr">
        <is>
          <t>UPSIDE
+7.5%</t>
        </is>
      </c>
    </row>
    <row r="8" ht="8" customHeight="1" s="62"/>
    <row r="9" ht="14" customHeight="1" s="62">
      <c r="B9" s="61" t="inlineStr">
        <is>
          <t>KEY STATISTICS</t>
        </is>
      </c>
      <c r="F9" s="61" t="inlineStr">
        <is>
          <t>RETURNS SUMMARY  (Base Case DCF)</t>
        </is>
      </c>
    </row>
    <row r="10" ht="13" customHeight="1" s="62">
      <c r="B10" s="63" t="inlineStr">
        <is>
          <t>Fiscal Year End</t>
        </is>
      </c>
      <c r="D10" s="3" t="inlineStr">
        <is>
          <t>December</t>
        </is>
      </c>
      <c r="E10" s="4" t="n"/>
      <c r="F10" s="63" t="inlineStr">
        <is>
          <t>Implied Price Target</t>
        </is>
      </c>
      <c r="H10" s="3" t="inlineStr">
        <is>
          <t>$215</t>
        </is>
      </c>
    </row>
    <row r="11" ht="13" customHeight="1" s="62">
      <c r="B11" s="64" t="inlineStr">
        <is>
          <t>Shares Outstanding</t>
        </is>
      </c>
      <c r="D11" s="5" t="inlineStr">
        <is>
          <t>1,620M</t>
        </is>
      </c>
      <c r="F11" s="64" t="inlineStr">
        <is>
          <t>Bull Case Price</t>
        </is>
      </c>
      <c r="H11" s="5" t="inlineStr">
        <is>
          <t>$330</t>
        </is>
      </c>
    </row>
    <row r="12" ht="13" customHeight="1" s="62">
      <c r="B12" s="63" t="inlineStr">
        <is>
          <t>Market Cap (current)</t>
        </is>
      </c>
      <c r="D12" s="3" t="inlineStr">
        <is>
          <t>~$324B</t>
        </is>
      </c>
      <c r="E12" s="4" t="n"/>
      <c r="F12" s="63" t="inlineStr">
        <is>
          <t>Bear Case Price</t>
        </is>
      </c>
      <c r="H12" s="3" t="inlineStr">
        <is>
          <t>$90</t>
        </is>
      </c>
    </row>
    <row r="13" ht="13" customHeight="1" s="62">
      <c r="B13" s="64" t="inlineStr">
        <is>
          <t>Enterprise Value</t>
        </is>
      </c>
      <c r="D13" s="5" t="inlineStr">
        <is>
          <t>~$320B</t>
        </is>
      </c>
      <c r="F13" s="64" t="inlineStr">
        <is>
          <t>Base WACC</t>
        </is>
      </c>
      <c r="H13" s="5" t="inlineStr">
        <is>
          <t>9.0%</t>
        </is>
      </c>
    </row>
    <row r="14" ht="13" customHeight="1" s="62">
      <c r="B14" s="63" t="inlineStr">
        <is>
          <t>Net Cash</t>
        </is>
      </c>
      <c r="D14" s="3" t="inlineStr">
        <is>
          <t>~$4.0B</t>
        </is>
      </c>
      <c r="E14" s="4" t="n"/>
      <c r="F14" s="63" t="inlineStr">
        <is>
          <t>Terminal Growth Rate</t>
        </is>
      </c>
      <c r="H14" s="3" t="inlineStr">
        <is>
          <t>3.5%</t>
        </is>
      </c>
    </row>
    <row r="15" ht="13" customHeight="1" s="62">
      <c r="B15" s="64" t="inlineStr">
        <is>
          <t>FY2025A Revenue</t>
        </is>
      </c>
      <c r="D15" s="5" t="inlineStr">
        <is>
          <t>$34.6B</t>
        </is>
      </c>
      <c r="F15" s="64" t="inlineStr">
        <is>
          <t>Revenue CAGR '24-'29</t>
        </is>
      </c>
      <c r="H15" s="5" t="inlineStr">
        <is>
          <t>~16%</t>
        </is>
      </c>
    </row>
    <row r="16" ht="13" customHeight="1" s="62">
      <c r="B16" s="63" t="inlineStr">
        <is>
          <t>FY2025A EBITDA</t>
        </is>
      </c>
      <c r="D16" s="3" t="inlineStr">
        <is>
          <t>$8.5B (Adj.)</t>
        </is>
      </c>
      <c r="E16" s="4" t="n"/>
      <c r="F16" s="63" t="inlineStr">
        <is>
          <t>Exit EBITDA Margin</t>
        </is>
      </c>
      <c r="H16" s="3" t="inlineStr">
        <is>
          <t>29.0%</t>
        </is>
      </c>
    </row>
    <row r="17" ht="13" customHeight="1" s="62">
      <c r="B17" s="64" t="inlineStr">
        <is>
          <t>NTM P/E (Non-GAAP)</t>
        </is>
      </c>
      <c r="D17" s="5" t="inlineStr">
        <is>
          <t>~32x</t>
        </is>
      </c>
      <c r="F17" s="64" t="inlineStr">
        <is>
          <t>Upside to PT</t>
        </is>
      </c>
      <c r="H17" s="5" t="inlineStr">
        <is>
          <t>+7.5%</t>
        </is>
      </c>
    </row>
    <row r="19" ht="8" customHeight="1" s="62">
      <c r="B19" s="78" t="inlineStr">
        <is>
          <t>INVESTMENT THESIS</t>
        </is>
      </c>
    </row>
    <row r="20" ht="68" customHeight="1" s="62">
      <c r="B20" s="68" t="inlineStr">
        <is>
          <t>AMD is the last credible challenger to Nvidia in AI accelerator silicon and the clear winner of Intel's CPU meltdown. We initiate with Overweight and a $145 price target based on a 5-year DCF reflecting 18% revenue CAGR and 2,900 bps of EBITDA margin expansion as mix shifts toward high-margin Data Center. Four catalysts underpin our thesis:</t>
        </is>
      </c>
    </row>
    <row r="21" ht="58" customHeight="1" s="62">
      <c r="B21" s="70" t="inlineStr">
        <is>
          <t>1.  Data Center GPU Ramp</t>
        </is>
      </c>
      <c r="D21" s="71" t="inlineStr">
        <is>
          <t>MI300X / MI350 series positions AMD as the only credible alternative to Nvidia H100/B200. Enterprise buyers increasingly dual-source to reduce Nvidia dependency. Data Center segment grew 94% YoY in FY2024 to $12.6B and we model 35% CAGR through FY2026.</t>
        </is>
      </c>
    </row>
    <row r="22" ht="58" customHeight="1" s="62">
      <c r="B22" s="67" t="inlineStr">
        <is>
          <t>2.  CPU Market Share Gains</t>
        </is>
      </c>
      <c r="D22" s="68" t="inlineStr">
        <is>
          <t>Intel's manufacturing struggles (10nm+ delays, Sapphire Rapids missteps, CEO instability) have structurally shifted server CPU share to AMD EPYC. EPYC now runs in 4 of 5 top cloud hyperscalers. Client Ryzen continues gaining in notebooks and gaming PCs.</t>
        </is>
      </c>
    </row>
    <row r="23" ht="58" customHeight="1" s="62">
      <c r="B23" s="70" t="inlineStr">
        <is>
          <t>3.  Operating Leverage</t>
        </is>
      </c>
      <c r="D23" s="71" t="inlineStr">
        <is>
          <t>AMD's fabless model means incremental Data Center revenue drops at 65–70% gross margins. As Xilinx amortization rolls off ($3.8B/yr declining to $2.4B by FY2029), GAAP EBIT will reconnect with cash earnings — creating a natural re-rating catalyst.</t>
        </is>
      </c>
    </row>
    <row r="24" ht="58" customHeight="1" s="62">
      <c r="B24" s="67" t="inlineStr">
        <is>
          <t>4.  Xilinx Embedded Recovery</t>
        </is>
      </c>
      <c r="D24" s="68" t="inlineStr">
        <is>
          <t>Embedded segment collapsed from $5.4B (FY2023) to $3.6B (FY2024) due to customer inventory digestion. Recovery underway — Xilinx FPGAs have no direct competitor and serve aerospace, automotive, and industrial end markets with multi-year design-in cycles.</t>
        </is>
      </c>
    </row>
    <row r="26" ht="8" customHeight="1" s="62">
      <c r="B26" s="72" t="inlineStr">
        <is>
          <t>KEY RISKS</t>
        </is>
      </c>
    </row>
    <row r="27" ht="13" customHeight="1" s="62">
      <c r="B27" s="6" t="inlineStr">
        <is>
          <t>▪  Nvidia moat</t>
        </is>
      </c>
      <c r="C27" s="4" t="n"/>
      <c r="D27" s="73" t="inlineStr">
        <is>
          <t>H100/B200/B300 dominance in CUDA ecosystem; AMD ROCm software lags materially</t>
        </is>
      </c>
    </row>
    <row r="28" ht="13" customHeight="1" s="62">
      <c r="B28" s="7" t="inlineStr">
        <is>
          <t>▪  Execution risk</t>
        </is>
      </c>
      <c r="D28" s="76" t="inlineStr">
        <is>
          <t>AMD historically strong on roadmap; any slip in MI400 timeline re-rates stock</t>
        </is>
      </c>
    </row>
    <row r="29" ht="13" customHeight="1" s="62">
      <c r="B29" s="6" t="inlineStr">
        <is>
          <t>▪  Cyclicality</t>
        </is>
      </c>
      <c r="C29" s="4" t="n"/>
      <c r="D29" s="73" t="inlineStr">
        <is>
          <t>Semi cycle downturn could hit Client and Gaming segments simultaneously</t>
        </is>
      </c>
    </row>
    <row r="30" ht="13" customHeight="1" s="62">
      <c r="B30" s="7" t="inlineStr">
        <is>
          <t>▪  Multiple risk</t>
        </is>
      </c>
      <c r="D30" s="76" t="inlineStr">
        <is>
          <t>Stock already prices in bull case execution; miss on DC revenue is asymmetric</t>
        </is>
      </c>
    </row>
    <row r="32" ht="12" customHeight="1" s="62">
      <c r="B32" s="79" t="inlineStr">
        <is>
          <t>¹ Current price as of model build date. Update cell DCF!D28 to refresh implied upside/downside.  All figures in USD millions unless noted.  Sources: AMD 10-K (FY2022–FY2024), analyst consensus.</t>
        </is>
      </c>
    </row>
    <row r="33" ht="5" customHeight="1" s="6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5" customHeight="1" s="6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</sheetData>
  <mergeCells count="41">
    <mergeCell ref="B9:E9"/>
    <mergeCell ref="B16:C16"/>
    <mergeCell ref="F11:G11"/>
    <mergeCell ref="B7:C7"/>
    <mergeCell ref="F10:G10"/>
    <mergeCell ref="F16:G16"/>
    <mergeCell ref="B3:I3"/>
    <mergeCell ref="B22:C22"/>
    <mergeCell ref="D22:H22"/>
    <mergeCell ref="F7:G7"/>
    <mergeCell ref="B12:C12"/>
    <mergeCell ref="B21:C21"/>
    <mergeCell ref="F12:G12"/>
    <mergeCell ref="D21:H21"/>
    <mergeCell ref="B26:H26"/>
    <mergeCell ref="B11:C11"/>
    <mergeCell ref="F15:G15"/>
    <mergeCell ref="B23:C23"/>
    <mergeCell ref="D27:H27"/>
    <mergeCell ref="B14:C14"/>
    <mergeCell ref="F9:H9"/>
    <mergeCell ref="B17:C17"/>
    <mergeCell ref="F17:G17"/>
    <mergeCell ref="B13:C13"/>
    <mergeCell ref="D7:E7"/>
    <mergeCell ref="H7:I7"/>
    <mergeCell ref="B10:C10"/>
    <mergeCell ref="D28:H28"/>
    <mergeCell ref="F13:G13"/>
    <mergeCell ref="B24:C24"/>
    <mergeCell ref="D30:H30"/>
    <mergeCell ref="B15:C15"/>
    <mergeCell ref="D24:H24"/>
    <mergeCell ref="B20:I20"/>
    <mergeCell ref="D29:H29"/>
    <mergeCell ref="D23:H23"/>
    <mergeCell ref="B5:I5"/>
    <mergeCell ref="F14:G14"/>
    <mergeCell ref="B19:H19"/>
    <mergeCell ref="B32:I32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10" defaultColWidth="8.83203125" defaultRowHeight="15"/>
  <cols>
    <col width="1.5" customWidth="1" style="62" min="1" max="1"/>
    <col width="26" customWidth="1" style="62" min="2" max="2"/>
    <col width="12" customWidth="1" style="62" min="3" max="10"/>
    <col width="1.5" customWidth="1" style="62" min="11" max="11"/>
  </cols>
  <sheetData>
    <row r="1" ht="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 s="62">
      <c r="B2" s="81" t="inlineStr">
        <is>
          <t>AMD — Model Assumptions</t>
        </is>
      </c>
    </row>
    <row r="3" ht="16" customHeight="1" s="62">
      <c r="B3" s="8" t="inlineStr">
        <is>
          <t>Metric</t>
        </is>
      </c>
      <c r="C3" s="9" t="inlineStr">
        <is>
          <t>FY2022A</t>
        </is>
      </c>
      <c r="D3" s="9" t="inlineStr">
        <is>
          <t>FY2023A</t>
        </is>
      </c>
      <c r="E3" s="9" t="inlineStr">
        <is>
          <t>FY2024A</t>
        </is>
      </c>
      <c r="F3" s="10" t="inlineStr">
        <is>
          <t>FY2025A</t>
        </is>
      </c>
      <c r="G3" s="10" t="inlineStr">
        <is>
          <t>FY2026E</t>
        </is>
      </c>
      <c r="H3" s="10" t="inlineStr">
        <is>
          <t>FY2027E</t>
        </is>
      </c>
      <c r="I3" s="10" t="inlineStr">
        <is>
          <t>FY2028E</t>
        </is>
      </c>
      <c r="J3" s="10" t="inlineStr">
        <is>
          <t>FY2029E</t>
        </is>
      </c>
    </row>
    <row r="4" ht="6" customHeight="1" s="62">
      <c r="B4" s="72" t="inlineStr">
        <is>
          <t>REVENUE GROWTH ASSUMPTIONS  (% YoY)</t>
        </is>
      </c>
    </row>
    <row r="5" ht="13" customHeight="1" s="62">
      <c r="B5" s="11" t="inlineStr">
        <is>
          <t>Data Center</t>
        </is>
      </c>
      <c r="C5" s="12" t="inlineStr">
        <is>
          <t>—</t>
        </is>
      </c>
      <c r="D5" s="12" t="inlineStr">
        <is>
          <t>—</t>
        </is>
      </c>
      <c r="E5" s="13" t="n">
        <v>0.946</v>
      </c>
      <c r="F5" s="14" t="n">
        <v>0.316</v>
      </c>
      <c r="G5" s="14" t="n">
        <v>0.3</v>
      </c>
      <c r="H5" s="14" t="n">
        <v>0.25</v>
      </c>
      <c r="I5" s="14" t="n">
        <v>0.2</v>
      </c>
      <c r="J5" s="14" t="n">
        <v>0.15</v>
      </c>
    </row>
    <row r="6" ht="13" customHeight="1" s="62">
      <c r="B6" s="15" t="inlineStr">
        <is>
          <t>Client</t>
        </is>
      </c>
      <c r="C6" s="16" t="inlineStr">
        <is>
          <t>—</t>
        </is>
      </c>
      <c r="D6" s="16" t="inlineStr">
        <is>
          <t>—</t>
        </is>
      </c>
      <c r="E6" s="17" t="n">
        <v>0.497</v>
      </c>
      <c r="F6" s="14" t="n">
        <v>0.519</v>
      </c>
      <c r="G6" s="14" t="n">
        <v>0.15</v>
      </c>
      <c r="H6" s="14" t="n">
        <v>0.12</v>
      </c>
      <c r="I6" s="14" t="n">
        <v>0.1</v>
      </c>
      <c r="J6" s="14" t="n">
        <v>0.08</v>
      </c>
    </row>
    <row r="7" ht="13" customHeight="1" s="62">
      <c r="B7" s="11" t="inlineStr">
        <is>
          <t>Gaming</t>
        </is>
      </c>
      <c r="C7" s="12" t="inlineStr">
        <is>
          <t>—</t>
        </is>
      </c>
      <c r="D7" s="12" t="inlineStr">
        <is>
          <t>—</t>
        </is>
      </c>
      <c r="E7" s="13" t="n">
        <v>-0.586</v>
      </c>
      <c r="F7" s="14" t="n">
        <v>0.533</v>
      </c>
      <c r="G7" s="14" t="n">
        <v>-0.1</v>
      </c>
      <c r="H7" s="14" t="n">
        <v>0</v>
      </c>
      <c r="I7" s="14" t="n">
        <v>0</v>
      </c>
      <c r="J7" s="14" t="n">
        <v>0</v>
      </c>
    </row>
    <row r="8" ht="13" customHeight="1" s="62">
      <c r="B8" s="15" t="inlineStr">
        <is>
          <t>Embedded</t>
        </is>
      </c>
      <c r="C8" s="16" t="inlineStr">
        <is>
          <t>—</t>
        </is>
      </c>
      <c r="D8" s="16" t="inlineStr">
        <is>
          <t>—</t>
        </is>
      </c>
      <c r="E8" s="17" t="n">
        <v>-0.329</v>
      </c>
      <c r="F8" s="14" t="n">
        <v>-0.038</v>
      </c>
      <c r="G8" s="14" t="n">
        <v>0.15</v>
      </c>
      <c r="H8" s="14" t="n">
        <v>0.15</v>
      </c>
      <c r="I8" s="14" t="n">
        <v>0.12</v>
      </c>
      <c r="J8" s="14" t="n">
        <v>0.1</v>
      </c>
    </row>
    <row r="10" ht="6" customHeight="1" s="62">
      <c r="B10" s="72" t="inlineStr">
        <is>
          <t>REVENUE BY SEGMENT  ($M)</t>
        </is>
      </c>
    </row>
    <row r="11" ht="13" customHeight="1" s="62">
      <c r="B11" s="11" t="inlineStr">
        <is>
          <t>Data Center</t>
        </is>
      </c>
      <c r="C11" s="18" t="n">
        <v>6045</v>
      </c>
      <c r="D11" s="18" t="n">
        <v>6496</v>
      </c>
      <c r="E11" s="18" t="n">
        <v>12641</v>
      </c>
      <c r="F11" s="19">
        <f>E11*(1+F5)</f>
        <v/>
      </c>
      <c r="G11" s="19">
        <f>F11*(1+G5)</f>
        <v/>
      </c>
      <c r="H11" s="19">
        <f>G11*(1+H5)</f>
        <v/>
      </c>
      <c r="I11" s="19">
        <f>H11*(1+I5)</f>
        <v/>
      </c>
      <c r="J11" s="19">
        <f>I11*(1+J5)</f>
        <v/>
      </c>
    </row>
    <row r="12" ht="13" customHeight="1" s="62">
      <c r="B12" s="15" t="inlineStr">
        <is>
          <t>Client</t>
        </is>
      </c>
      <c r="C12" s="18" t="n">
        <v>6236</v>
      </c>
      <c r="D12" s="18" t="n">
        <v>4680</v>
      </c>
      <c r="E12" s="18" t="n">
        <v>7003</v>
      </c>
      <c r="F12" s="20">
        <f>E12*(1+F6)</f>
        <v/>
      </c>
      <c r="G12" s="20">
        <f>F12*(1+G6)</f>
        <v/>
      </c>
      <c r="H12" s="20">
        <f>G12*(1+H6)</f>
        <v/>
      </c>
      <c r="I12" s="20">
        <f>H12*(1+I6)</f>
        <v/>
      </c>
      <c r="J12" s="20">
        <f>I12*(1+J6)</f>
        <v/>
      </c>
    </row>
    <row r="13" ht="13" customHeight="1" s="62">
      <c r="B13" s="11" t="inlineStr">
        <is>
          <t>Gaming</t>
        </is>
      </c>
      <c r="C13" s="18" t="n">
        <v>7167</v>
      </c>
      <c r="D13" s="18" t="n">
        <v>6156</v>
      </c>
      <c r="E13" s="18" t="n">
        <v>2551</v>
      </c>
      <c r="F13" s="19">
        <f>E13*(1+F7)</f>
        <v/>
      </c>
      <c r="G13" s="19">
        <f>F13*(1+G7)</f>
        <v/>
      </c>
      <c r="H13" s="19">
        <f>G13*(1+H7)</f>
        <v/>
      </c>
      <c r="I13" s="19">
        <f>H13*(1+I7)</f>
        <v/>
      </c>
      <c r="J13" s="19">
        <f>I13*(1+J7)</f>
        <v/>
      </c>
    </row>
    <row r="14" ht="13" customHeight="1" s="62">
      <c r="B14" s="15" t="inlineStr">
        <is>
          <t>Embedded</t>
        </is>
      </c>
      <c r="C14" s="18" t="n">
        <v>4153</v>
      </c>
      <c r="D14" s="18" t="n">
        <v>5348</v>
      </c>
      <c r="E14" s="18" t="n">
        <v>3590</v>
      </c>
      <c r="F14" s="20">
        <f>E14*(1+F8)</f>
        <v/>
      </c>
      <c r="G14" s="20">
        <f>F14*(1+G8)</f>
        <v/>
      </c>
      <c r="H14" s="20">
        <f>G14*(1+H8)</f>
        <v/>
      </c>
      <c r="I14" s="20">
        <f>H14*(1+I8)</f>
        <v/>
      </c>
      <c r="J14" s="20">
        <f>I14*(1+J8)</f>
        <v/>
      </c>
    </row>
    <row r="15" ht="14" customHeight="1" s="62">
      <c r="B15" s="21" t="inlineStr">
        <is>
          <t>Total Revenue</t>
        </is>
      </c>
      <c r="C15" s="22">
        <f>C11+C12+C13+C14</f>
        <v/>
      </c>
      <c r="D15" s="22">
        <f>D11+D12+D13+D14</f>
        <v/>
      </c>
      <c r="E15" s="22">
        <f>E11+E12+E13+E14</f>
        <v/>
      </c>
      <c r="F15" s="22">
        <f>F11+F12+F13+F14</f>
        <v/>
      </c>
      <c r="G15" s="22">
        <f>G11+G12+G13+G14</f>
        <v/>
      </c>
      <c r="H15" s="22">
        <f>H11+H12+H13+H14</f>
        <v/>
      </c>
      <c r="I15" s="22">
        <f>I11+I12+I13+I14</f>
        <v/>
      </c>
      <c r="J15" s="22">
        <f>J11+J12+J13+J14</f>
        <v/>
      </c>
    </row>
    <row r="16" ht="13" customHeight="1" s="62">
      <c r="B16" s="23" t="inlineStr">
        <is>
          <t>YoY Growth %</t>
        </is>
      </c>
      <c r="D16" s="17">
        <f>D15/C15-1</f>
        <v/>
      </c>
      <c r="E16" s="17">
        <f>E15/D15-1</f>
        <v/>
      </c>
      <c r="F16" s="17">
        <f>F15/E15-1</f>
        <v/>
      </c>
      <c r="G16" s="17">
        <f>G15/F15-1</f>
        <v/>
      </c>
      <c r="H16" s="17">
        <f>H15/G15-1</f>
        <v/>
      </c>
      <c r="I16" s="17">
        <f>I15/H15-1</f>
        <v/>
      </c>
      <c r="J16" s="17">
        <f>J15/I15-1</f>
        <v/>
      </c>
    </row>
    <row r="17" ht="6" customHeight="1" s="62">
      <c r="B17" s="72" t="inlineStr">
        <is>
          <t>MARGIN &amp; P&amp;L ASSUMPTIONS</t>
        </is>
      </c>
    </row>
    <row r="18" ht="13" customHeight="1" s="62">
      <c r="B18" s="11" t="inlineStr">
        <is>
          <t>Gross Margin %</t>
        </is>
      </c>
      <c r="C18" s="14" t="n">
        <v>0.445</v>
      </c>
      <c r="D18" s="14" t="n">
        <v>0.461</v>
      </c>
      <c r="E18" s="14" t="n">
        <v>0.48</v>
      </c>
      <c r="F18" s="14" t="n">
        <v>0.5</v>
      </c>
      <c r="G18" s="14" t="n">
        <v>0.52</v>
      </c>
      <c r="H18" s="14" t="n">
        <v>0.54</v>
      </c>
      <c r="I18" s="14" t="n">
        <v>0.555</v>
      </c>
      <c r="J18" s="14" t="n">
        <v>0.57</v>
      </c>
    </row>
    <row r="19" ht="13" customHeight="1" s="62">
      <c r="B19" s="15" t="inlineStr">
        <is>
          <t>EBITDA Margin %</t>
        </is>
      </c>
      <c r="C19" s="14" t="n">
        <v>0.162</v>
      </c>
      <c r="D19" s="14" t="n">
        <v>0.191</v>
      </c>
      <c r="E19" s="14" t="n">
        <v>0.216</v>
      </c>
      <c r="F19" s="14" t="n">
        <v>0.203</v>
      </c>
      <c r="G19" s="14" t="n">
        <v>0.24</v>
      </c>
      <c r="H19" s="14" t="n">
        <v>0.26</v>
      </c>
      <c r="I19" s="14" t="n">
        <v>0.28</v>
      </c>
      <c r="J19" s="14" t="n">
        <v>0.29</v>
      </c>
    </row>
    <row r="20" ht="13" customHeight="1" s="62">
      <c r="B20" s="11" t="inlineStr">
        <is>
          <t>D&amp;A ($M)</t>
        </is>
      </c>
      <c r="C20" s="18" t="n">
        <v>3936</v>
      </c>
      <c r="D20" s="18" t="n">
        <v>3936</v>
      </c>
      <c r="E20" s="18" t="n">
        <v>3758</v>
      </c>
      <c r="F20" s="18" t="n">
        <v>3350</v>
      </c>
      <c r="G20" s="18" t="n">
        <v>3100</v>
      </c>
      <c r="H20" s="18" t="n">
        <v>2700</v>
      </c>
      <c r="I20" s="18" t="n">
        <v>2400</v>
      </c>
      <c r="J20" s="18" t="n">
        <v>2100</v>
      </c>
    </row>
    <row r="21" ht="13" customHeight="1" s="62">
      <c r="B21" s="15" t="inlineStr">
        <is>
          <t>Tax Rate %</t>
        </is>
      </c>
      <c r="C21" s="14" t="n">
        <v>0.09</v>
      </c>
      <c r="D21" s="14" t="n">
        <v>0.06</v>
      </c>
      <c r="E21" s="14" t="n">
        <v>0.1</v>
      </c>
      <c r="F21" s="14" t="n">
        <v>0.15</v>
      </c>
      <c r="G21" s="14" t="n">
        <v>0.15</v>
      </c>
      <c r="H21" s="14" t="n">
        <v>0.15</v>
      </c>
      <c r="I21" s="14" t="n">
        <v>0.15</v>
      </c>
      <c r="J21" s="14" t="n">
        <v>0.15</v>
      </c>
    </row>
    <row r="22" ht="13" customHeight="1" s="62">
      <c r="B22" s="11" t="inlineStr">
        <is>
          <t>Capex ($M)</t>
        </is>
      </c>
      <c r="C22" s="18" t="n">
        <v>300</v>
      </c>
      <c r="D22" s="18" t="n">
        <v>237</v>
      </c>
      <c r="E22" s="18" t="n">
        <v>236</v>
      </c>
      <c r="F22" s="18" t="n">
        <v>350</v>
      </c>
      <c r="G22" s="18" t="n">
        <v>450</v>
      </c>
      <c r="H22" s="18" t="n">
        <v>550</v>
      </c>
      <c r="I22" s="18" t="n">
        <v>600</v>
      </c>
      <c r="J22" s="18" t="n">
        <v>650</v>
      </c>
    </row>
    <row r="23" ht="13" customHeight="1" s="62">
      <c r="B23" s="15" t="inlineStr">
        <is>
          <t>Δ Working Cap ($M)</t>
        </is>
      </c>
      <c r="C23" s="18" t="n">
        <v>380</v>
      </c>
      <c r="D23" s="18" t="n">
        <v>290</v>
      </c>
      <c r="E23" s="18" t="n">
        <v>310</v>
      </c>
      <c r="F23" s="18" t="n">
        <v>500</v>
      </c>
      <c r="G23" s="18" t="n">
        <v>600</v>
      </c>
      <c r="H23" s="18" t="n">
        <v>600</v>
      </c>
      <c r="I23" s="18" t="n">
        <v>500</v>
      </c>
      <c r="J23" s="18" t="n">
        <v>400</v>
      </c>
    </row>
  </sheetData>
  <mergeCells count="4">
    <mergeCell ref="B10:J10"/>
    <mergeCell ref="B17:J17"/>
    <mergeCell ref="B4:J4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F10" sqref="F10"/>
    </sheetView>
  </sheetViews>
  <sheetFormatPr baseColWidth="10" defaultColWidth="8.83203125" defaultRowHeight="15"/>
  <cols>
    <col width="1.5" customWidth="1" style="62" min="1" max="1"/>
    <col width="28" customWidth="1" style="62" min="2" max="2"/>
    <col width="12" customWidth="1" style="62" min="3" max="10"/>
    <col width="1.5" customWidth="1" style="62" min="11" max="11"/>
  </cols>
  <sheetData>
    <row r="1" ht="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 s="62">
      <c r="B2" s="81" t="inlineStr">
        <is>
          <t>AMD — Income Statement &amp; Free Cash Flow Build ($M)</t>
        </is>
      </c>
    </row>
    <row r="3" ht="16" customHeight="1" s="62">
      <c r="B3" s="8" t="n"/>
      <c r="C3" s="9" t="inlineStr">
        <is>
          <t>FY2022A</t>
        </is>
      </c>
      <c r="D3" s="9" t="inlineStr">
        <is>
          <t>FY2023A</t>
        </is>
      </c>
      <c r="E3" s="9" t="inlineStr">
        <is>
          <t>FY2024A</t>
        </is>
      </c>
      <c r="F3" s="10" t="inlineStr">
        <is>
          <t>FY2025A</t>
        </is>
      </c>
      <c r="G3" s="10" t="inlineStr">
        <is>
          <t>FY2026E</t>
        </is>
      </c>
      <c r="H3" s="10" t="inlineStr">
        <is>
          <t>FY2027E</t>
        </is>
      </c>
      <c r="I3" s="10" t="inlineStr">
        <is>
          <t>FY2028E</t>
        </is>
      </c>
      <c r="J3" s="10" t="inlineStr">
        <is>
          <t>FY2029E</t>
        </is>
      </c>
    </row>
    <row r="4" ht="6" customHeight="1" s="62">
      <c r="B4" s="72" t="inlineStr">
        <is>
          <t>INCOME STATEMENT</t>
        </is>
      </c>
    </row>
    <row r="5" ht="14" customHeight="1" s="62">
      <c r="B5" s="21" t="inlineStr">
        <is>
          <t>Revenue</t>
        </is>
      </c>
      <c r="C5" s="24">
        <f>Assumptions!C15</f>
        <v/>
      </c>
      <c r="D5" s="24">
        <f>Assumptions!D15</f>
        <v/>
      </c>
      <c r="E5" s="24">
        <f>Assumptions!E15</f>
        <v/>
      </c>
      <c r="F5" s="24">
        <f>Assumptions!F15</f>
        <v/>
      </c>
      <c r="G5" s="24">
        <f>Assumptions!G15</f>
        <v/>
      </c>
      <c r="H5" s="24">
        <f>Assumptions!H15</f>
        <v/>
      </c>
      <c r="I5" s="24">
        <f>Assumptions!I15</f>
        <v/>
      </c>
      <c r="J5" s="24">
        <f>Assumptions!J15</f>
        <v/>
      </c>
    </row>
    <row r="6" ht="13" customHeight="1" s="62">
      <c r="B6" s="25" t="inlineStr">
        <is>
          <t xml:space="preserve">  YoY Growth</t>
        </is>
      </c>
      <c r="D6" s="17">
        <f>D5/C5-1</f>
        <v/>
      </c>
      <c r="E6" s="17">
        <f>E5/D5-1</f>
        <v/>
      </c>
      <c r="F6" s="17">
        <f>F5/E5-1</f>
        <v/>
      </c>
      <c r="G6" s="17">
        <f>G5/F5-1</f>
        <v/>
      </c>
      <c r="H6" s="17">
        <f>H5/G5-1</f>
        <v/>
      </c>
      <c r="I6" s="17">
        <f>I5/H5-1</f>
        <v/>
      </c>
      <c r="J6" s="17">
        <f>J5/I5-1</f>
        <v/>
      </c>
    </row>
    <row r="7" ht="14" customHeight="1" s="62">
      <c r="B7" s="21" t="inlineStr">
        <is>
          <t>Gross Profit</t>
        </is>
      </c>
      <c r="C7" s="19">
        <f>C5*Assumptions!C18</f>
        <v/>
      </c>
      <c r="D7" s="19">
        <f>D5*Assumptions!D18</f>
        <v/>
      </c>
      <c r="E7" s="19">
        <f>E5*Assumptions!E18</f>
        <v/>
      </c>
      <c r="F7" s="19">
        <f>F5*Assumptions!F18</f>
        <v/>
      </c>
      <c r="G7" s="19">
        <f>G5*Assumptions!G18</f>
        <v/>
      </c>
      <c r="H7" s="19">
        <f>H5*Assumptions!H18</f>
        <v/>
      </c>
      <c r="I7" s="19">
        <f>I5*Assumptions!I18</f>
        <v/>
      </c>
      <c r="J7" s="19">
        <f>J5*Assumptions!J18</f>
        <v/>
      </c>
    </row>
    <row r="8" ht="13" customHeight="1" s="62">
      <c r="B8" s="25" t="inlineStr">
        <is>
          <t xml:space="preserve">  Gross Margin %</t>
        </is>
      </c>
      <c r="C8" s="17">
        <f>C7/C5</f>
        <v/>
      </c>
      <c r="D8" s="17">
        <f>D7/D5</f>
        <v/>
      </c>
      <c r="E8" s="17">
        <f>E7/E5</f>
        <v/>
      </c>
      <c r="F8" s="17">
        <f>F7/F5</f>
        <v/>
      </c>
      <c r="G8" s="17">
        <f>G7/G5</f>
        <v/>
      </c>
      <c r="H8" s="17">
        <f>H7/H5</f>
        <v/>
      </c>
      <c r="I8" s="17">
        <f>I7/I5</f>
        <v/>
      </c>
      <c r="J8" s="17">
        <f>J7/J5</f>
        <v/>
      </c>
    </row>
    <row r="9" ht="14" customHeight="1" s="62">
      <c r="B9" s="21" t="inlineStr">
        <is>
          <t>EBITDA</t>
        </is>
      </c>
      <c r="C9" s="19">
        <f>C5*Assumptions!C19</f>
        <v/>
      </c>
      <c r="D9" s="19">
        <f>D5*Assumptions!D19</f>
        <v/>
      </c>
      <c r="E9" s="19">
        <f>E5*Assumptions!E19</f>
        <v/>
      </c>
      <c r="F9" s="19">
        <f>F5*Assumptions!F19</f>
        <v/>
      </c>
      <c r="G9" s="19">
        <f>G5*Assumptions!G19</f>
        <v/>
      </c>
      <c r="H9" s="19">
        <f>H5*Assumptions!H19</f>
        <v/>
      </c>
      <c r="I9" s="19">
        <f>I5*Assumptions!I19</f>
        <v/>
      </c>
      <c r="J9" s="19">
        <f>J5*Assumptions!J19</f>
        <v/>
      </c>
    </row>
    <row r="10" ht="13" customHeight="1" s="62">
      <c r="B10" s="25" t="inlineStr">
        <is>
          <t xml:space="preserve">  EBITDA Margin %</t>
        </is>
      </c>
      <c r="C10" s="17">
        <f>C9/C5</f>
        <v/>
      </c>
      <c r="D10" s="17">
        <f>D9/D5</f>
        <v/>
      </c>
      <c r="E10" s="17">
        <f>E9/E5</f>
        <v/>
      </c>
      <c r="F10" s="17">
        <f>F9/F5</f>
        <v/>
      </c>
      <c r="G10" s="17">
        <f>G9/G5</f>
        <v/>
      </c>
      <c r="H10" s="17">
        <f>H9/H5</f>
        <v/>
      </c>
      <c r="I10" s="17">
        <f>I9/I5</f>
        <v/>
      </c>
      <c r="J10" s="17">
        <f>J9/J5</f>
        <v/>
      </c>
    </row>
    <row r="11" ht="14" customHeight="1" s="62">
      <c r="B11" s="26" t="inlineStr">
        <is>
          <t>Less: D&amp;A (incl. acquisition amortization)</t>
        </is>
      </c>
      <c r="C11" s="24">
        <f>Assumptions!C20</f>
        <v/>
      </c>
      <c r="D11" s="24">
        <f>Assumptions!D20</f>
        <v/>
      </c>
      <c r="E11" s="24">
        <f>Assumptions!E20</f>
        <v/>
      </c>
      <c r="F11" s="24">
        <f>Assumptions!F20</f>
        <v/>
      </c>
      <c r="G11" s="24">
        <f>Assumptions!G20</f>
        <v/>
      </c>
      <c r="H11" s="24">
        <f>Assumptions!H20</f>
        <v/>
      </c>
      <c r="I11" s="24">
        <f>Assumptions!I20</f>
        <v/>
      </c>
      <c r="J11" s="24">
        <f>Assumptions!J20</f>
        <v/>
      </c>
    </row>
    <row r="12" ht="14" customHeight="1" s="62">
      <c r="B12" s="27" t="inlineStr">
        <is>
          <t>EBIT (Operating Income)</t>
        </is>
      </c>
      <c r="C12" s="28">
        <f>C9-C11</f>
        <v/>
      </c>
      <c r="D12" s="28">
        <f>D9-D11</f>
        <v/>
      </c>
      <c r="E12" s="28">
        <f>E9-E11</f>
        <v/>
      </c>
      <c r="F12" s="28">
        <f>F9-F11</f>
        <v/>
      </c>
      <c r="G12" s="28">
        <f>G9-G11</f>
        <v/>
      </c>
      <c r="H12" s="28">
        <f>H9-H11</f>
        <v/>
      </c>
      <c r="I12" s="28">
        <f>I9-I11</f>
        <v/>
      </c>
      <c r="J12" s="28">
        <f>J9-J11</f>
        <v/>
      </c>
    </row>
    <row r="13" ht="13" customHeight="1" s="62">
      <c r="B13" s="25" t="inlineStr">
        <is>
          <t xml:space="preserve">  EBIT Margin %</t>
        </is>
      </c>
      <c r="C13" s="17">
        <f>C12/C5</f>
        <v/>
      </c>
      <c r="D13" s="17">
        <f>D12/D5</f>
        <v/>
      </c>
      <c r="E13" s="17">
        <f>E12/E5</f>
        <v/>
      </c>
      <c r="F13" s="17">
        <f>F12/F5</f>
        <v/>
      </c>
      <c r="G13" s="17">
        <f>G12/G5</f>
        <v/>
      </c>
      <c r="H13" s="17">
        <f>H12/H5</f>
        <v/>
      </c>
      <c r="I13" s="17">
        <f>I12/I5</f>
        <v/>
      </c>
      <c r="J13" s="17">
        <f>J12/J5</f>
        <v/>
      </c>
    </row>
    <row r="14" ht="8" customHeight="1" s="62">
      <c r="B14" s="72" t="inlineStr">
        <is>
          <t>UNLEVERED FREE CASH FLOW BUILD</t>
        </is>
      </c>
    </row>
    <row r="15" ht="14" customHeight="1" s="62">
      <c r="B15" s="26" t="inlineStr">
        <is>
          <t>EBIT</t>
        </is>
      </c>
      <c r="C15" s="19">
        <f>C12</f>
        <v/>
      </c>
      <c r="D15" s="19">
        <f>D12</f>
        <v/>
      </c>
      <c r="E15" s="19">
        <f>E12</f>
        <v/>
      </c>
      <c r="F15" s="19">
        <f>F12</f>
        <v/>
      </c>
      <c r="G15" s="19">
        <f>G12</f>
        <v/>
      </c>
      <c r="H15" s="19">
        <f>H12</f>
        <v/>
      </c>
      <c r="I15" s="19">
        <f>I12</f>
        <v/>
      </c>
      <c r="J15" s="19">
        <f>J12</f>
        <v/>
      </c>
    </row>
    <row r="16" ht="13" customHeight="1" s="62">
      <c r="B16" s="15" t="inlineStr">
        <is>
          <t xml:space="preserve">  Less: Taxes</t>
        </is>
      </c>
      <c r="C16" s="20">
        <f>-C15*Assumptions!C21</f>
        <v/>
      </c>
      <c r="D16" s="20">
        <f>-D15*Assumptions!D21</f>
        <v/>
      </c>
      <c r="E16" s="20">
        <f>-E15*Assumptions!E21</f>
        <v/>
      </c>
      <c r="F16" s="20">
        <f>-F15*Assumptions!F21</f>
        <v/>
      </c>
      <c r="G16" s="20">
        <f>-G15*Assumptions!G21</f>
        <v/>
      </c>
      <c r="H16" s="20">
        <f>-H15*Assumptions!H21</f>
        <v/>
      </c>
      <c r="I16" s="20">
        <f>-I15*Assumptions!I21</f>
        <v/>
      </c>
      <c r="J16" s="20">
        <f>-J15*Assumptions!J21</f>
        <v/>
      </c>
    </row>
    <row r="17" ht="14" customHeight="1" s="62">
      <c r="B17" s="21" t="inlineStr">
        <is>
          <t>NOPAT</t>
        </is>
      </c>
      <c r="C17" s="22">
        <f>C15+C16</f>
        <v/>
      </c>
      <c r="D17" s="22">
        <f>D15+D16</f>
        <v/>
      </c>
      <c r="E17" s="22">
        <f>E15+E16</f>
        <v/>
      </c>
      <c r="F17" s="22">
        <f>F15+F16</f>
        <v/>
      </c>
      <c r="G17" s="22">
        <f>G15+G16</f>
        <v/>
      </c>
      <c r="H17" s="22">
        <f>H15+H16</f>
        <v/>
      </c>
      <c r="I17" s="22">
        <f>I15+I16</f>
        <v/>
      </c>
      <c r="J17" s="22">
        <f>J15+J16</f>
        <v/>
      </c>
    </row>
    <row r="18" ht="13" customHeight="1" s="62">
      <c r="B18" s="15" t="inlineStr">
        <is>
          <t xml:space="preserve">  Plus: D&amp;A</t>
        </is>
      </c>
      <c r="C18" s="20">
        <f>C11</f>
        <v/>
      </c>
      <c r="D18" s="20">
        <f>D11</f>
        <v/>
      </c>
      <c r="E18" s="20">
        <f>E11</f>
        <v/>
      </c>
      <c r="F18" s="20">
        <f>F11</f>
        <v/>
      </c>
      <c r="G18" s="20">
        <f>G11</f>
        <v/>
      </c>
      <c r="H18" s="20">
        <f>H11</f>
        <v/>
      </c>
      <c r="I18" s="20">
        <f>I11</f>
        <v/>
      </c>
      <c r="J18" s="20">
        <f>J11</f>
        <v/>
      </c>
    </row>
    <row r="19" ht="13" customHeight="1" s="62">
      <c r="B19" s="15" t="inlineStr">
        <is>
          <t xml:space="preserve">  Less: Capital Expenditures</t>
        </is>
      </c>
      <c r="C19" s="20">
        <f>-Assumptions!C22</f>
        <v/>
      </c>
      <c r="D19" s="20">
        <f>-Assumptions!D22</f>
        <v/>
      </c>
      <c r="E19" s="20">
        <f>-Assumptions!E22</f>
        <v/>
      </c>
      <c r="F19" s="20">
        <f>-Assumptions!F22</f>
        <v/>
      </c>
      <c r="G19" s="20">
        <f>-Assumptions!G22</f>
        <v/>
      </c>
      <c r="H19" s="20">
        <f>-Assumptions!H22</f>
        <v/>
      </c>
      <c r="I19" s="20">
        <f>-Assumptions!I22</f>
        <v/>
      </c>
      <c r="J19" s="20">
        <f>-Assumptions!J22</f>
        <v/>
      </c>
    </row>
    <row r="20" ht="13" customHeight="1" s="62">
      <c r="B20" s="15" t="inlineStr">
        <is>
          <t xml:space="preserve">  Less: Δ Working Capital</t>
        </is>
      </c>
      <c r="C20" s="20">
        <f>-Assumptions!C23</f>
        <v/>
      </c>
      <c r="D20" s="20">
        <f>-Assumptions!D23</f>
        <v/>
      </c>
      <c r="E20" s="20">
        <f>-Assumptions!E23</f>
        <v/>
      </c>
      <c r="F20" s="20">
        <f>-Assumptions!F23</f>
        <v/>
      </c>
      <c r="G20" s="20">
        <f>-Assumptions!G23</f>
        <v/>
      </c>
      <c r="H20" s="20">
        <f>-Assumptions!H23</f>
        <v/>
      </c>
      <c r="I20" s="20">
        <f>-Assumptions!I23</f>
        <v/>
      </c>
      <c r="J20" s="20">
        <f>-Assumptions!J23</f>
        <v/>
      </c>
    </row>
    <row r="21" ht="16" customHeight="1" s="62">
      <c r="B21" s="21" t="inlineStr">
        <is>
          <t>Unlevered Free Cash Flow</t>
        </is>
      </c>
      <c r="C21" s="29">
        <f>C17+C18+C19+C20</f>
        <v/>
      </c>
      <c r="D21" s="29">
        <f>D17+D18+D19+D20</f>
        <v/>
      </c>
      <c r="E21" s="29">
        <f>E17+E18+E19+E20</f>
        <v/>
      </c>
      <c r="F21" s="29">
        <f>F17+F18+F19+F20</f>
        <v/>
      </c>
      <c r="G21" s="29">
        <f>G17+G18+G19+G20</f>
        <v/>
      </c>
      <c r="H21" s="29">
        <f>H17+H18+H19+H20</f>
        <v/>
      </c>
      <c r="I21" s="29">
        <f>I17+I18+I19+I20</f>
        <v/>
      </c>
      <c r="J21" s="29">
        <f>J17+J18+J19+J20</f>
        <v/>
      </c>
    </row>
    <row r="22" ht="4" customHeight="1" s="6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</sheetData>
  <mergeCells count="3">
    <mergeCell ref="B4:J4"/>
    <mergeCell ref="B14:J14"/>
    <mergeCell ref="B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selection activeCell="C17" sqref="C17"/>
    </sheetView>
  </sheetViews>
  <sheetFormatPr baseColWidth="10" defaultColWidth="8.83203125" defaultRowHeight="15"/>
  <cols>
    <col width="1.5" customWidth="1" style="62" min="1" max="1"/>
    <col width="30" customWidth="1" style="62" min="2" max="2"/>
    <col width="14" customWidth="1" style="62" min="3" max="8"/>
    <col width="2" customWidth="1" style="62" min="9" max="9"/>
  </cols>
  <sheetData>
    <row r="1" ht="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 s="62">
      <c r="B2" s="81" t="inlineStr">
        <is>
          <t>AMD — Discounted Cash Flow Analysis ($M)</t>
        </is>
      </c>
    </row>
    <row r="3" ht="16" customHeight="1" s="62">
      <c r="B3" s="8" t="n"/>
      <c r="C3" s="9" t="inlineStr">
        <is>
          <t>Input / Assumption</t>
        </is>
      </c>
      <c r="D3" s="10" t="inlineStr">
        <is>
          <t>FY2025A</t>
        </is>
      </c>
      <c r="E3" s="10" t="inlineStr">
        <is>
          <t>FY2026E</t>
        </is>
      </c>
      <c r="F3" s="10" t="inlineStr">
        <is>
          <t>FY2027E</t>
        </is>
      </c>
      <c r="G3" s="10" t="inlineStr">
        <is>
          <t>FY2028E</t>
        </is>
      </c>
      <c r="H3" s="10" t="inlineStr">
        <is>
          <t>FY2029E</t>
        </is>
      </c>
    </row>
    <row r="4" ht="6" customHeight="1" s="62">
      <c r="B4" s="72" t="inlineStr">
        <is>
          <t>WACC BUILD</t>
        </is>
      </c>
    </row>
    <row r="5" ht="13" customHeight="1" s="62">
      <c r="B5" s="26" t="inlineStr">
        <is>
          <t>Risk-Free Rate (10-yr Treasury)</t>
        </is>
      </c>
      <c r="C5" s="30" t="n">
        <v>0.045</v>
      </c>
      <c r="D5" s="4" t="n"/>
      <c r="E5" s="4" t="n"/>
      <c r="F5" s="4" t="n"/>
      <c r="G5" s="4" t="n"/>
      <c r="H5" s="4" t="n"/>
    </row>
    <row r="6" ht="13" customHeight="1" s="62">
      <c r="B6" s="31" t="inlineStr">
        <is>
          <t>Equity Risk Premium (ERP)</t>
        </is>
      </c>
      <c r="C6" s="30" t="n">
        <v>0.043</v>
      </c>
    </row>
    <row r="7" ht="13" customHeight="1" s="62">
      <c r="B7" s="26" t="inlineStr">
        <is>
          <t>Levered Beta</t>
        </is>
      </c>
      <c r="C7" s="32" t="n">
        <v>1.4</v>
      </c>
      <c r="D7" s="4" t="n"/>
      <c r="E7" s="4" t="n"/>
      <c r="F7" s="4" t="n"/>
      <c r="G7" s="4" t="n"/>
      <c r="H7" s="4" t="n"/>
    </row>
    <row r="8" ht="13" customHeight="1" s="62">
      <c r="B8" s="27" t="inlineStr">
        <is>
          <t>Cost of Equity  [Rf + β × ERP]</t>
        </is>
      </c>
      <c r="C8" s="33">
        <f>C5+C7*C6</f>
        <v/>
      </c>
    </row>
    <row r="9" ht="13" customHeight="1" s="62">
      <c r="B9" s="26" t="inlineStr">
        <is>
          <t>Pre-Tax Cost of Debt</t>
        </is>
      </c>
      <c r="C9" s="30" t="n">
        <v>0.04</v>
      </c>
      <c r="D9" s="4" t="n"/>
      <c r="E9" s="4" t="n"/>
      <c r="F9" s="4" t="n"/>
      <c r="G9" s="4" t="n"/>
      <c r="H9" s="4" t="n"/>
    </row>
    <row r="10" ht="13" customHeight="1" s="62">
      <c r="B10" s="31" t="inlineStr">
        <is>
          <t>Effective Tax Rate</t>
        </is>
      </c>
      <c r="C10" s="30" t="n">
        <v>0.15</v>
      </c>
    </row>
    <row r="11" ht="13" customHeight="1" s="62">
      <c r="B11" s="26" t="inlineStr">
        <is>
          <t>After-Tax Cost of Debt  [Kd×(1-t)]</t>
        </is>
      </c>
      <c r="C11" s="34">
        <f>C9*(1-C10)</f>
        <v/>
      </c>
      <c r="D11" s="4" t="n"/>
      <c r="E11" s="4" t="n"/>
      <c r="F11" s="4" t="n"/>
      <c r="G11" s="4" t="n"/>
      <c r="H11" s="4" t="n"/>
    </row>
    <row r="12" ht="13" customHeight="1" s="62">
      <c r="B12" s="31" t="inlineStr">
        <is>
          <t>Debt / Total Capital</t>
        </is>
      </c>
      <c r="C12" s="30" t="n">
        <v>0.008999999999999999</v>
      </c>
    </row>
    <row r="13" ht="13" customHeight="1" s="62">
      <c r="B13" s="26" t="inlineStr">
        <is>
          <t>Equity / Total Capital</t>
        </is>
      </c>
      <c r="C13" s="34">
        <f>1-C12</f>
        <v/>
      </c>
      <c r="D13" s="4" t="n"/>
      <c r="E13" s="4" t="n"/>
      <c r="F13" s="4" t="n"/>
      <c r="G13" s="4" t="n"/>
      <c r="H13" s="4" t="n"/>
    </row>
    <row r="14" ht="13" customHeight="1" s="62">
      <c r="B14" s="27" t="inlineStr">
        <is>
          <t>WACC  [Ke×We + Kd×Wd]</t>
        </is>
      </c>
      <c r="C14" s="35">
        <f>C8*C13+C11*C12</f>
        <v/>
      </c>
    </row>
    <row r="15" ht="6" customHeight="1" s="62">
      <c r="B15" s="72" t="inlineStr">
        <is>
          <t>DCF — FREE CASH FLOW PROJECTION</t>
        </is>
      </c>
    </row>
    <row r="16" ht="16" customHeight="1" s="62">
      <c r="B16" s="8" t="inlineStr">
        <is>
          <t>Metric</t>
        </is>
      </c>
      <c r="C16" s="9" t="inlineStr">
        <is>
          <t>Notes</t>
        </is>
      </c>
      <c r="D16" s="9" t="inlineStr">
        <is>
          <t>FY2025A</t>
        </is>
      </c>
      <c r="E16" s="9" t="inlineStr">
        <is>
          <t>FY2026E</t>
        </is>
      </c>
      <c r="F16" s="9" t="inlineStr">
        <is>
          <t>FY2027E</t>
        </is>
      </c>
      <c r="G16" s="9" t="inlineStr">
        <is>
          <t>FY2028E</t>
        </is>
      </c>
      <c r="H16" s="9" t="inlineStr">
        <is>
          <t>FY2029E</t>
        </is>
      </c>
    </row>
    <row r="17" ht="14" customHeight="1" s="62">
      <c r="B17" s="21" t="inlineStr">
        <is>
          <t>Unlevered Free Cash Flow</t>
        </is>
      </c>
      <c r="C17" s="26" t="inlineStr">
        <is>
          <t>← Income Statement</t>
        </is>
      </c>
      <c r="D17" s="24">
        <f>'Income Statement'!F21</f>
        <v/>
      </c>
      <c r="E17" s="24">
        <f>'Income Statement'!G21</f>
        <v/>
      </c>
      <c r="F17" s="24">
        <f>'Income Statement'!H21</f>
        <v/>
      </c>
      <c r="G17" s="24">
        <f>'Income Statement'!I21</f>
        <v/>
      </c>
      <c r="H17" s="24">
        <f>'Income Statement'!J21</f>
        <v/>
      </c>
    </row>
    <row r="18" ht="13" customHeight="1" s="62">
      <c r="B18" s="31" t="inlineStr">
        <is>
          <t>Discount Period (mid-year convention)</t>
        </is>
      </c>
      <c r="C18" s="31" t="inlineStr">
        <is>
          <t>0.5, 1.5, 2.5 …</t>
        </is>
      </c>
      <c r="D18" s="36" t="n">
        <v>0.5</v>
      </c>
      <c r="E18" s="36" t="n">
        <v>1.5</v>
      </c>
      <c r="F18" s="36" t="n">
        <v>2.5</v>
      </c>
      <c r="G18" s="36" t="n">
        <v>3.5</v>
      </c>
      <c r="H18" s="36" t="n">
        <v>4.5</v>
      </c>
    </row>
    <row r="19" ht="14" customHeight="1" s="62">
      <c r="B19" s="26" t="inlineStr">
        <is>
          <t>Discount Factor  [1/(1+WACC)^t]</t>
        </is>
      </c>
      <c r="C19" s="4" t="n"/>
      <c r="D19" s="37">
        <f>1/(1+C14)^D18</f>
        <v/>
      </c>
      <c r="E19" s="37">
        <f>1/(1+C14)^E18</f>
        <v/>
      </c>
      <c r="F19" s="37">
        <f>1/(1+C14)^F18</f>
        <v/>
      </c>
      <c r="G19" s="37">
        <f>1/(1+C14)^G18</f>
        <v/>
      </c>
      <c r="H19" s="37">
        <f>1/(1+C14)^H18</f>
        <v/>
      </c>
    </row>
    <row r="20" ht="14" customHeight="1" s="62">
      <c r="B20" s="27" t="inlineStr">
        <is>
          <t>PV of Free Cash Flow</t>
        </is>
      </c>
      <c r="D20" s="28">
        <f>D17*D19</f>
        <v/>
      </c>
      <c r="E20" s="28">
        <f>E17*E19</f>
        <v/>
      </c>
      <c r="F20" s="28">
        <f>F17*F19</f>
        <v/>
      </c>
      <c r="G20" s="28">
        <f>G17*G19</f>
        <v/>
      </c>
      <c r="H20" s="28">
        <f>H17*H19</f>
        <v/>
      </c>
    </row>
    <row r="21" ht="8" customHeight="1" s="62">
      <c r="B21" s="72" t="inlineStr">
        <is>
          <t>TERMINAL VALUE &amp; ENTERPRISE VALUE BRIDGE</t>
        </is>
      </c>
    </row>
    <row r="22" ht="14" customHeight="1" s="62">
      <c r="B22" s="21" t="inlineStr">
        <is>
          <t>Sum of PV (FCFs)</t>
        </is>
      </c>
      <c r="C22" s="29">
        <f>SUM(D20:H20)</f>
        <v/>
      </c>
      <c r="D22" s="4" t="n"/>
      <c r="E22" s="4" t="n"/>
      <c r="F22" s="4" t="n"/>
      <c r="G22" s="4" t="n"/>
      <c r="H22" s="4" t="n"/>
    </row>
    <row r="23" ht="14" customHeight="1" s="62">
      <c r="B23" s="31" t="inlineStr">
        <is>
          <t>Terminal Growth Rate (g)</t>
        </is>
      </c>
      <c r="C23" s="30" t="n">
        <v>0.035</v>
      </c>
    </row>
    <row r="24" ht="14" customHeight="1" s="62">
      <c r="B24" s="26" t="inlineStr">
        <is>
          <t>Terminal Year FCF  (FY2029E × (1+g))</t>
        </is>
      </c>
      <c r="C24" s="19">
        <f>H17*(1+C23)</f>
        <v/>
      </c>
      <c r="D24" s="4" t="n"/>
      <c r="E24" s="4" t="n"/>
      <c r="F24" s="4" t="n"/>
      <c r="G24" s="4" t="n"/>
      <c r="H24" s="4" t="n"/>
    </row>
    <row r="25" ht="14" customHeight="1" s="62">
      <c r="B25" s="31" t="inlineStr">
        <is>
          <t>Terminal Value  [FCF_T+1 / (WACC-g)]</t>
        </is>
      </c>
      <c r="C25" s="20">
        <f>C24/(C14-C23)</f>
        <v/>
      </c>
    </row>
    <row r="26" ht="14" customHeight="1" s="62">
      <c r="B26" s="26" t="inlineStr">
        <is>
          <t>PV of Terminal Value</t>
        </is>
      </c>
      <c r="C26" s="19">
        <f>C25*H19</f>
        <v/>
      </c>
      <c r="D26" s="4" t="n"/>
      <c r="E26" s="4" t="n"/>
      <c r="F26" s="4" t="n"/>
      <c r="G26" s="4" t="n"/>
      <c r="H26" s="4" t="n"/>
    </row>
    <row r="27" ht="14" customHeight="1" s="62">
      <c r="B27" s="38" t="inlineStr">
        <is>
          <t>Enterprise Value  [PV(FCFs) + PV(TV)]</t>
        </is>
      </c>
      <c r="C27" s="39">
        <f>C22+C26</f>
        <v/>
      </c>
      <c r="D27" s="40" t="n"/>
      <c r="E27" s="40" t="n"/>
      <c r="F27" s="40" t="n"/>
      <c r="G27" s="40" t="n"/>
      <c r="H27" s="40" t="n"/>
    </row>
    <row r="28" ht="14" customHeight="1" s="62">
      <c r="B28" s="26" t="inlineStr">
        <is>
          <t>Plus: Cash &amp; Equivalents</t>
        </is>
      </c>
      <c r="C28" s="41" t="n">
        <v>5700</v>
      </c>
      <c r="D28" s="4" t="n"/>
      <c r="E28" s="4" t="n"/>
      <c r="F28" s="4" t="n"/>
      <c r="G28" s="4" t="n"/>
      <c r="H28" s="4" t="n"/>
    </row>
    <row r="29" ht="14" customHeight="1" s="62">
      <c r="B29" s="31" t="inlineStr">
        <is>
          <t>Less: Total Debt</t>
        </is>
      </c>
      <c r="C29" s="41" t="n">
        <v>1700</v>
      </c>
    </row>
    <row r="30" ht="14" customHeight="1" s="62">
      <c r="B30" s="21" t="inlineStr">
        <is>
          <t>Equity Value</t>
        </is>
      </c>
      <c r="C30" s="29">
        <f>C27+C28-C29</f>
        <v/>
      </c>
      <c r="D30" s="4" t="n"/>
      <c r="E30" s="4" t="n"/>
      <c r="F30" s="4" t="n"/>
      <c r="G30" s="4" t="n"/>
      <c r="H30" s="4" t="n"/>
    </row>
    <row r="31" ht="14" customHeight="1" s="62">
      <c r="B31" s="31" t="inlineStr">
        <is>
          <t>Shares Outstanding (M)</t>
        </is>
      </c>
      <c r="C31" s="18" t="n">
        <v>1620</v>
      </c>
    </row>
    <row r="32" ht="14" customHeight="1" s="62">
      <c r="B32" s="38" t="inlineStr">
        <is>
          <t>Implied Price Per Share</t>
        </is>
      </c>
      <c r="C32" s="42">
        <f>C30/C31</f>
        <v/>
      </c>
      <c r="D32" s="40" t="n"/>
      <c r="E32" s="40" t="n"/>
      <c r="F32" s="40" t="n"/>
      <c r="G32" s="40" t="n"/>
      <c r="H32" s="40" t="n"/>
    </row>
    <row r="33" ht="14" customHeight="1" s="62">
      <c r="B33" s="31" t="inlineStr">
        <is>
          <t>Current Price (update manually)</t>
        </is>
      </c>
      <c r="C33" s="41" t="n">
        <v>200</v>
      </c>
    </row>
    <row r="34" ht="14" customHeight="1" s="62">
      <c r="B34" s="38" t="inlineStr">
        <is>
          <t>Implied Upside / (Downside)</t>
        </is>
      </c>
      <c r="C34" s="43">
        <f>C32/C33-1</f>
        <v/>
      </c>
      <c r="D34" s="40" t="n"/>
      <c r="E34" s="40" t="n"/>
      <c r="F34" s="40" t="n"/>
      <c r="G34" s="40" t="n"/>
      <c r="H34" s="40" t="n"/>
    </row>
    <row r="37" ht="4" customHeight="1" s="6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</sheetData>
  <mergeCells count="4">
    <mergeCell ref="B4:H4"/>
    <mergeCell ref="B21:H21"/>
    <mergeCell ref="B2:H2"/>
    <mergeCell ref="B15:H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10" defaultColWidth="8.83203125" defaultRowHeight="15"/>
  <cols>
    <col width="1.5" customWidth="1" style="62" min="1" max="1"/>
    <col width="22" customWidth="1" style="62" min="2" max="2"/>
    <col width="13" customWidth="1" style="62" min="3" max="8"/>
    <col width="6.6640625" customWidth="1" style="62" min="9" max="9"/>
  </cols>
  <sheetData>
    <row r="1" ht="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 s="62">
      <c r="B2" s="81" t="inlineStr">
        <is>
          <t>AMD — Sensitivity Analysis</t>
        </is>
      </c>
    </row>
    <row r="3" ht="8" customHeight="1" s="62">
      <c r="B3" s="72" t="inlineStr">
        <is>
          <t>SENSITIVITY TABLE 1  — Implied Share Price by WACC × Terminal Growth Rate</t>
        </is>
      </c>
    </row>
    <row r="4" ht="14" customHeight="1" s="62">
      <c r="B4" s="44" t="inlineStr">
        <is>
          <t>TGR  ↓</t>
        </is>
      </c>
      <c r="C4" s="45" t="n">
        <v>0.075</v>
      </c>
      <c r="D4" s="45" t="n">
        <v>0.08</v>
      </c>
      <c r="E4" s="45" t="n">
        <v>0.08500000000000001</v>
      </c>
      <c r="F4" s="45" t="n">
        <v>0.09</v>
      </c>
      <c r="G4" s="45" t="n">
        <v>0.095</v>
      </c>
      <c r="H4" s="45" t="n">
        <v>0.1</v>
      </c>
      <c r="I4" s="45" t="n">
        <v>0.105</v>
      </c>
    </row>
    <row r="5" ht="14" customHeight="1" s="62">
      <c r="B5" s="45" t="n">
        <v>0.025</v>
      </c>
      <c r="C5" s="46" t="n">
        <v>162.6</v>
      </c>
      <c r="D5" s="47" t="n">
        <v>147.5</v>
      </c>
      <c r="E5" s="47" t="n">
        <v>134.9</v>
      </c>
      <c r="F5" s="48" t="n">
        <v>124.3</v>
      </c>
      <c r="G5" s="49" t="n">
        <v>115.2</v>
      </c>
      <c r="H5" s="49" t="n">
        <v>107.3</v>
      </c>
      <c r="I5" s="49" t="n">
        <v>100.4</v>
      </c>
    </row>
    <row r="6" ht="14" customHeight="1" s="62">
      <c r="B6" s="45" t="n">
        <v>0.03</v>
      </c>
      <c r="C6" s="46" t="n">
        <v>178.3</v>
      </c>
      <c r="D6" s="46" t="n">
        <v>160.1</v>
      </c>
      <c r="E6" s="47" t="n">
        <v>145.3</v>
      </c>
      <c r="F6" s="47" t="n">
        <v>132.9</v>
      </c>
      <c r="G6" s="50" t="n">
        <v>122.5</v>
      </c>
      <c r="H6" s="49" t="n">
        <v>113.5</v>
      </c>
      <c r="I6" s="49" t="n">
        <v>105.8</v>
      </c>
    </row>
    <row r="7" ht="14" customHeight="1" s="62">
      <c r="B7" s="45" t="n">
        <v>0.035</v>
      </c>
      <c r="C7" s="46" t="n">
        <v>197.9</v>
      </c>
      <c r="D7" s="46" t="n">
        <v>175.5</v>
      </c>
      <c r="E7" s="46" t="n">
        <v>157.7</v>
      </c>
      <c r="F7" s="47" t="n">
        <v>143.1</v>
      </c>
      <c r="G7" s="47" t="n">
        <v>130.9</v>
      </c>
      <c r="H7" s="48" t="n">
        <v>120.7</v>
      </c>
      <c r="I7" s="49" t="n">
        <v>111.9</v>
      </c>
    </row>
    <row r="8" ht="14" customHeight="1" s="62">
      <c r="B8" s="45" t="n">
        <v>0.04</v>
      </c>
      <c r="C8" s="46" t="n">
        <v>223.1</v>
      </c>
      <c r="D8" s="46" t="n">
        <v>194.8</v>
      </c>
      <c r="E8" s="46" t="n">
        <v>172.9</v>
      </c>
      <c r="F8" s="46" t="n">
        <v>155.3</v>
      </c>
      <c r="G8" s="47" t="n">
        <v>141</v>
      </c>
      <c r="H8" s="47" t="n">
        <v>129</v>
      </c>
      <c r="I8" s="50" t="n">
        <v>118.9</v>
      </c>
    </row>
    <row r="9" ht="14" customHeight="1" s="62">
      <c r="B9" s="45" t="n">
        <v>0.045</v>
      </c>
      <c r="C9" s="46" t="n">
        <v>256.7</v>
      </c>
      <c r="D9" s="46" t="n">
        <v>219.6</v>
      </c>
      <c r="E9" s="46" t="n">
        <v>191.8</v>
      </c>
      <c r="F9" s="46" t="n">
        <v>170.3</v>
      </c>
      <c r="G9" s="46" t="n">
        <v>153</v>
      </c>
      <c r="H9" s="47" t="n">
        <v>138.9</v>
      </c>
      <c r="I9" s="47" t="n">
        <v>127.1</v>
      </c>
    </row>
    <row r="11" ht="8" customHeight="1" s="62">
      <c r="B11" s="72" t="inlineStr">
        <is>
          <t>SENSITIVITY TABLE 2  — Bull / Base / Bear Scenario Summary</t>
        </is>
      </c>
    </row>
    <row r="12" ht="16" customHeight="1" s="62">
      <c r="B12" s="8" t="inlineStr">
        <is>
          <t>Metric</t>
        </is>
      </c>
      <c r="C12" s="51" t="inlineStr">
        <is>
          <t>Bear Case</t>
        </is>
      </c>
      <c r="D12" s="10" t="n"/>
      <c r="E12" s="10" t="inlineStr">
        <is>
          <t>Base Case</t>
        </is>
      </c>
      <c r="F12" s="10" t="n"/>
      <c r="G12" s="52" t="inlineStr">
        <is>
          <t>Bull Case</t>
        </is>
      </c>
      <c r="H12" s="10" t="n"/>
    </row>
    <row r="13" ht="14" customHeight="1" s="62">
      <c r="B13" s="26" t="inlineStr">
        <is>
          <t>Revenue CAGR (2024–2029)</t>
        </is>
      </c>
      <c r="C13" s="82" t="inlineStr">
        <is>
          <t>~9.0%</t>
        </is>
      </c>
      <c r="E13" s="82" t="inlineStr">
        <is>
          <t>~16.1%</t>
        </is>
      </c>
      <c r="G13" s="82" t="inlineStr">
        <is>
          <t>~22.5%</t>
        </is>
      </c>
    </row>
    <row r="14" ht="14" customHeight="1" s="62">
      <c r="B14" s="31" t="inlineStr">
        <is>
          <t>Exit EBITDA Margin</t>
        </is>
      </c>
      <c r="C14" s="83" t="inlineStr">
        <is>
          <t>20.0%</t>
        </is>
      </c>
      <c r="E14" s="83" t="inlineStr">
        <is>
          <t>29.0%</t>
        </is>
      </c>
      <c r="G14" s="83" t="inlineStr">
        <is>
          <t>35.0%</t>
        </is>
      </c>
    </row>
    <row r="15" ht="14" customHeight="1" s="62">
      <c r="B15" s="26" t="inlineStr">
        <is>
          <t>WACC</t>
        </is>
      </c>
      <c r="C15" s="82" t="inlineStr">
        <is>
          <t>11.0%</t>
        </is>
      </c>
      <c r="E15" s="82" t="inlineStr">
        <is>
          <t>9.0%</t>
        </is>
      </c>
      <c r="G15" s="82" t="inlineStr">
        <is>
          <t>8.5%</t>
        </is>
      </c>
    </row>
    <row r="16" ht="14" customHeight="1" s="62">
      <c r="B16" s="31" t="inlineStr">
        <is>
          <t>Terminal Growth Rate</t>
        </is>
      </c>
      <c r="C16" s="83" t="inlineStr">
        <is>
          <t>3.0%</t>
        </is>
      </c>
      <c r="E16" s="83" t="inlineStr">
        <is>
          <t>3.5%</t>
        </is>
      </c>
      <c r="G16" s="83" t="inlineStr">
        <is>
          <t>4.0%</t>
        </is>
      </c>
    </row>
    <row r="17" ht="14" customHeight="1" s="62">
      <c r="B17" s="21" t="inlineStr">
        <is>
          <t>Implied Price Target</t>
        </is>
      </c>
      <c r="C17" s="84" t="n">
        <v>85</v>
      </c>
      <c r="E17" s="84" t="n">
        <v>143</v>
      </c>
      <c r="G17" s="84" t="n">
        <v>283</v>
      </c>
    </row>
    <row r="18" ht="14" customHeight="1" s="62">
      <c r="B18" s="31" t="inlineStr">
        <is>
          <t>Upside / (Downside) vs $200</t>
        </is>
      </c>
      <c r="C18" s="86" t="n">
        <v>-0.575</v>
      </c>
      <c r="E18" s="85" t="n">
        <v>-0.285</v>
      </c>
      <c r="G18" s="85" t="n">
        <v>0.415</v>
      </c>
    </row>
    <row r="20" ht="8" customHeight="1" s="62">
      <c r="B20" s="72" t="inlineStr">
        <is>
          <t>SENSITIVITY TABLE 3  — Price Target vs. Data Center Revenue Growth Assumption</t>
        </is>
      </c>
    </row>
    <row r="21" ht="14" customHeight="1" s="62">
      <c r="B21" s="8" t="inlineStr">
        <is>
          <t>Scenario</t>
        </is>
      </c>
      <c r="C21" s="9" t="inlineStr">
        <is>
          <t>DC Rev FY2029E</t>
        </is>
      </c>
      <c r="D21" s="9" t="inlineStr">
        <is>
          <t>Implied Price</t>
        </is>
      </c>
      <c r="E21" s="9" t="inlineStr">
        <is>
          <t>Upside</t>
        </is>
      </c>
      <c r="F21" s="9" t="inlineStr">
        <is>
          <t>Probability</t>
        </is>
      </c>
      <c r="G21" s="9" t="inlineStr">
        <is>
          <t>Commentary</t>
        </is>
      </c>
      <c r="H21" s="9" t="n"/>
    </row>
    <row r="22" ht="14" customHeight="1" s="62">
      <c r="B22" s="26" t="inlineStr">
        <is>
          <t>Downside: DC 20% CAGR</t>
        </is>
      </c>
      <c r="C22" s="19" t="n">
        <v>34494</v>
      </c>
      <c r="D22" s="53" t="n">
        <v>148</v>
      </c>
      <c r="E22" s="54" t="n">
        <v>-0.26</v>
      </c>
      <c r="F22" s="55" t="inlineStr">
        <is>
          <t>20%</t>
        </is>
      </c>
      <c r="G22" s="63" t="inlineStr">
        <is>
          <t>DC growth at 20% — minimal share gains vs. Nvidia</t>
        </is>
      </c>
    </row>
    <row r="23" ht="14" customHeight="1" s="62">
      <c r="B23" s="27" t="inlineStr">
        <is>
          <t>Base: DC 28% CAGR</t>
        </is>
      </c>
      <c r="C23" s="20" t="n">
        <v>44654</v>
      </c>
      <c r="D23" s="56" t="n">
        <v>172</v>
      </c>
      <c r="E23" s="57" t="n">
        <v>-0.14</v>
      </c>
      <c r="F23" s="58" t="inlineStr">
        <is>
          <t>40%</t>
        </is>
      </c>
      <c r="G23" s="64" t="inlineStr">
        <is>
          <t>DC growth at 28% — modest share gains</t>
        </is>
      </c>
    </row>
    <row r="24" ht="14" customHeight="1" s="62">
      <c r="B24" s="26" t="inlineStr">
        <is>
          <t>Bull: DC 40% CAGR</t>
        </is>
      </c>
      <c r="C24" s="19" t="n">
        <v>63905</v>
      </c>
      <c r="D24" s="53" t="n">
        <v>243</v>
      </c>
      <c r="E24" s="54" t="n">
        <v>0.215</v>
      </c>
      <c r="F24" s="55" t="inlineStr">
        <is>
          <t>30%</t>
        </is>
      </c>
      <c r="G24" s="63" t="inlineStr">
        <is>
          <t>DC growth at 40% — AMD captures 15%+ of AI accelerator market</t>
        </is>
      </c>
    </row>
    <row r="25" ht="14" customHeight="1" s="62">
      <c r="B25" s="31" t="inlineStr">
        <is>
          <t>Super Bull: DC 55% CAGR</t>
        </is>
      </c>
      <c r="C25" s="20" t="n">
        <v>96017</v>
      </c>
      <c r="D25" s="59" t="n">
        <v>385</v>
      </c>
      <c r="E25" s="57" t="n">
        <v>0.925</v>
      </c>
      <c r="F25" s="58" t="inlineStr">
        <is>
          <t>10%</t>
        </is>
      </c>
      <c r="G25" s="64" t="inlineStr">
        <is>
          <t>DC growth at 55% — AMD closes gap with Nvidia significantly</t>
        </is>
      </c>
    </row>
    <row r="27" ht="14" customHeight="1" s="62">
      <c r="B27" s="21" t="inlineStr">
        <is>
          <t>Probability-Weighted Price Target</t>
        </is>
      </c>
      <c r="C27" s="4" t="n"/>
      <c r="D27" s="60" t="n">
        <v>181</v>
      </c>
      <c r="E27" s="87" t="inlineStr">
        <is>
          <t>PT: $181  (-9.5% vs $200)</t>
        </is>
      </c>
    </row>
    <row r="29" ht="4" customHeight="1" s="62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</sheetData>
  <mergeCells count="27">
    <mergeCell ref="C15:D15"/>
    <mergeCell ref="C14:D14"/>
    <mergeCell ref="G23:H23"/>
    <mergeCell ref="E14:F14"/>
    <mergeCell ref="E17:F17"/>
    <mergeCell ref="B20:H20"/>
    <mergeCell ref="G17:H17"/>
    <mergeCell ref="C18:D18"/>
    <mergeCell ref="C16:D16"/>
    <mergeCell ref="E13:F13"/>
    <mergeCell ref="G13:H13"/>
    <mergeCell ref="G18:H18"/>
    <mergeCell ref="B3:H3"/>
    <mergeCell ref="G24:H24"/>
    <mergeCell ref="E15:F15"/>
    <mergeCell ref="G15:H15"/>
    <mergeCell ref="B2:H2"/>
    <mergeCell ref="G14:H14"/>
    <mergeCell ref="B11:H11"/>
    <mergeCell ref="C17:D17"/>
    <mergeCell ref="E16:F16"/>
    <mergeCell ref="G16:H16"/>
    <mergeCell ref="G25:H25"/>
    <mergeCell ref="C13:D13"/>
    <mergeCell ref="G22:H22"/>
    <mergeCell ref="E18:F18"/>
    <mergeCell ref="E27:H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2026-02-26T16:15:40Z</dcterms:created>
  <dcterms:modified xmlns:dcterms="http://purl.org/dc/terms/" xmlns:xsi="http://www.w3.org/2001/XMLSchema-instance" xsi:type="dcterms:W3CDTF">2026-03-02T02:37:38Z</dcterms:modified>
  <cp:lastModifiedBy>Francisco Rodriguez</cp:lastModifiedBy>
</cp:coreProperties>
</file>