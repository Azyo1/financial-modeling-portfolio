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DCF &amp; Valuation" sheetId="4" state="visible" r:id="rId4"/>
    <sheet xmlns:r="http://schemas.openxmlformats.org/officeDocument/2006/relationships" name="Sensitivit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€#,##0.00"/>
    <numFmt numFmtId="166" formatCode="0.0"/>
    <numFmt numFmtId="167" formatCode="0.0000"/>
    <numFmt numFmtId="168" formatCode="&quot;$&quot;#,##0.00"/>
  </numFmts>
  <fonts count="25">
    <font>
      <name val="Calibri"/>
      <family val="2"/>
      <color theme="1"/>
      <sz val="11"/>
      <scheme val="minor"/>
    </font>
    <font>
      <name val="Calibri"/>
      <b val="1"/>
      <color rgb="008B0000"/>
      <sz val="20"/>
    </font>
    <font>
      <name val="Calibri"/>
      <i val="1"/>
      <color rgb="00595959"/>
      <sz val="10"/>
    </font>
    <font>
      <name val="Calibri"/>
      <color rgb="00595959"/>
      <sz val="9"/>
    </font>
    <font>
      <name val="Calibri"/>
      <b val="1"/>
      <color rgb="00FFFFFF"/>
      <sz val="11"/>
    </font>
    <font>
      <name val="Calibri"/>
      <b val="1"/>
      <color rgb="00FFFFFF"/>
      <sz val="8"/>
    </font>
    <font>
      <name val="Calibri"/>
      <color rgb="001F1F1F"/>
      <sz val="8"/>
    </font>
    <font>
      <name val="Calibri"/>
      <b val="1"/>
      <color rgb="001F3864"/>
      <sz val="8"/>
    </font>
    <font>
      <name val="Calibri"/>
      <b val="1"/>
      <color rgb="008B0000"/>
      <sz val="8"/>
    </font>
    <font>
      <name val="Calibri"/>
      <b val="1"/>
      <color rgb="00C0272D"/>
      <sz val="8"/>
    </font>
    <font>
      <name val="Calibri"/>
      <b val="1"/>
      <color rgb="00C00000"/>
      <sz val="8"/>
    </font>
    <font>
      <name val="Calibri"/>
      <i val="1"/>
      <color rgb="00595959"/>
      <sz val="7"/>
    </font>
    <font>
      <name val="Calibri"/>
      <b val="1"/>
      <color rgb="00FFFFFF"/>
      <sz val="9"/>
    </font>
    <font>
      <name val="Calibri"/>
      <color rgb="001F1F1F"/>
      <sz val="9"/>
    </font>
    <font>
      <name val="Calibri"/>
      <color rgb="001F3864"/>
      <sz val="9"/>
    </font>
    <font>
      <name val="Calibri"/>
      <i val="1"/>
      <color rgb="001F1F1F"/>
      <sz val="9"/>
    </font>
    <font>
      <name val="Calibri"/>
      <b val="1"/>
      <color rgb="001F1F1F"/>
      <sz val="9"/>
    </font>
    <font>
      <name val="Calibri"/>
      <b val="1"/>
      <color rgb="008B0000"/>
      <sz val="9"/>
    </font>
    <font>
      <name val="Calibri"/>
      <i val="1"/>
      <color rgb="00595959"/>
      <sz val="7.5"/>
    </font>
    <font>
      <name val="Calibri"/>
      <color rgb="00595959"/>
      <sz val="8"/>
    </font>
    <font>
      <name val="Calibri"/>
      <b val="1"/>
      <color rgb="00375623"/>
      <sz val="8"/>
    </font>
    <font>
      <name val="Calibri"/>
      <color rgb="00375623"/>
      <sz val="9"/>
    </font>
    <font>
      <name val="Calibri"/>
      <color rgb="009C5700"/>
      <sz val="9"/>
    </font>
    <font>
      <name val="Calibri"/>
      <b val="1"/>
      <color rgb="00375623"/>
      <sz val="9"/>
    </font>
    <font>
      <name val="Calibri"/>
      <b val="1"/>
      <color rgb="00C00000"/>
      <sz val="9"/>
    </font>
  </fonts>
  <fills count="15">
    <fill>
      <patternFill/>
    </fill>
    <fill>
      <patternFill patternType="gray125"/>
    </fill>
    <fill>
      <patternFill patternType="solid">
        <fgColor rgb="00C0272D"/>
      </patternFill>
    </fill>
    <fill>
      <patternFill patternType="solid">
        <fgColor rgb="008B0000"/>
      </patternFill>
    </fill>
    <fill>
      <patternFill patternType="solid">
        <fgColor rgb="001F3864"/>
      </patternFill>
    </fill>
    <fill>
      <patternFill patternType="solid">
        <fgColor rgb="0017375E"/>
      </patternFill>
    </fill>
    <fill>
      <patternFill patternType="solid">
        <fgColor rgb="00375623"/>
      </patternFill>
    </fill>
    <fill>
      <patternFill patternType="solid">
        <fgColor rgb="00F5F5F5"/>
      </patternFill>
    </fill>
    <fill>
      <patternFill patternType="solid">
        <fgColor rgb="00DBE5F1"/>
      </patternFill>
    </fill>
    <fill>
      <patternFill patternType="solid">
        <fgColor rgb="00EBF1DE"/>
      </patternFill>
    </fill>
    <fill>
      <patternFill patternType="solid">
        <fgColor rgb="00FFF2CC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5" fillId="3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left" vertical="center"/>
    </xf>
    <xf numFmtId="0" fontId="7" fillId="7" borderId="0" applyAlignment="1" pivotButton="0" quotePrefix="0" xfId="0">
      <alignment horizontal="right" vertical="center"/>
    </xf>
    <xf numFmtId="0" fontId="8" fillId="7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top" wrapText="1"/>
    </xf>
    <xf numFmtId="0" fontId="8" fillId="7" borderId="0" applyAlignment="1" pivotButton="0" quotePrefix="0" xfId="0">
      <alignment horizontal="left" vertical="top" wrapText="1"/>
    </xf>
    <xf numFmtId="0" fontId="6" fillId="7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5" fillId="5" borderId="0" applyAlignment="1" pivotButton="0" quotePrefix="0" xfId="0">
      <alignment horizontal="left" vertical="center"/>
    </xf>
    <xf numFmtId="0" fontId="10" fillId="7" borderId="0" applyAlignment="1" pivotButton="0" quotePrefix="0" xfId="0">
      <alignment horizontal="left" vertical="center"/>
    </xf>
    <xf numFmtId="0" fontId="0" fillId="7" borderId="0" pivotButton="0" quotePrefix="0" xfId="0"/>
    <xf numFmtId="0" fontId="6" fillId="7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3" fontId="14" fillId="8" borderId="0" applyAlignment="1" pivotButton="0" quotePrefix="0" xfId="0">
      <alignment horizontal="right" vertical="center"/>
    </xf>
    <xf numFmtId="3" fontId="13" fillId="0" borderId="0" applyAlignment="1" pivotButton="0" quotePrefix="0" xfId="0">
      <alignment horizontal="right" vertical="center"/>
    </xf>
    <xf numFmtId="0" fontId="15" fillId="7" borderId="0" applyAlignment="1" pivotButton="0" quotePrefix="0" xfId="0">
      <alignment horizontal="left" vertical="center" indent="1"/>
    </xf>
    <xf numFmtId="0" fontId="3" fillId="7" borderId="0" applyAlignment="1" pivotButton="0" quotePrefix="0" xfId="0">
      <alignment horizontal="center" vertical="center"/>
    </xf>
    <xf numFmtId="164" fontId="13" fillId="7" borderId="0" applyAlignment="1" pivotButton="0" quotePrefix="0" xfId="0">
      <alignment horizontal="right" vertical="center"/>
    </xf>
    <xf numFmtId="164" fontId="14" fillId="8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center" vertical="center"/>
    </xf>
    <xf numFmtId="0" fontId="16" fillId="7" borderId="0" applyAlignment="1" pivotButton="0" quotePrefix="0" xfId="0">
      <alignment horizontal="left" vertical="center"/>
    </xf>
    <xf numFmtId="3" fontId="13" fillId="7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indent="1"/>
    </xf>
    <xf numFmtId="0" fontId="13" fillId="7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right" vertical="center"/>
    </xf>
    <xf numFmtId="2" fontId="14" fillId="8" borderId="0" applyAlignment="1" pivotButton="0" quotePrefix="0" xfId="0">
      <alignment horizontal="right" vertical="center"/>
    </xf>
    <xf numFmtId="3" fontId="13" fillId="9" borderId="0" applyAlignment="1" pivotButton="0" quotePrefix="0" xfId="0">
      <alignment horizontal="right" vertical="center"/>
    </xf>
    <xf numFmtId="0" fontId="13" fillId="7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right" vertical="center"/>
    </xf>
    <xf numFmtId="3" fontId="16" fillId="7" borderId="0" applyAlignment="1" pivotButton="0" quotePrefix="0" xfId="0">
      <alignment horizontal="right" vertical="center"/>
    </xf>
    <xf numFmtId="165" fontId="14" fillId="8" borderId="0" applyAlignment="1" pivotButton="0" quotePrefix="0" xfId="0">
      <alignment horizontal="right" vertical="center"/>
    </xf>
    <xf numFmtId="165" fontId="13" fillId="7" borderId="0" applyAlignment="1" pivotButton="0" quotePrefix="0" xfId="0">
      <alignment horizontal="right" vertical="center"/>
    </xf>
    <xf numFmtId="3" fontId="17" fillId="7" borderId="0" applyAlignment="1" pivotButton="0" quotePrefix="0" xfId="0">
      <alignment horizontal="right" vertical="center"/>
    </xf>
    <xf numFmtId="10" fontId="14" fillId="8" borderId="0" applyAlignment="1" pivotButton="0" quotePrefix="0" xfId="0">
      <alignment horizontal="right" vertical="center"/>
    </xf>
    <xf numFmtId="10" fontId="16" fillId="0" borderId="0" applyAlignment="1" pivotButton="0" quotePrefix="0" xfId="0">
      <alignment horizontal="right" vertical="center"/>
    </xf>
    <xf numFmtId="10" fontId="13" fillId="7" borderId="0" applyAlignment="1" pivotButton="0" quotePrefix="0" xfId="0">
      <alignment horizontal="right" vertical="center"/>
    </xf>
    <xf numFmtId="10" fontId="17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 wrapText="1"/>
    </xf>
    <xf numFmtId="166" fontId="14" fillId="8" borderId="0" applyAlignment="1" pivotButton="0" quotePrefix="0" xfId="0">
      <alignment horizontal="right" vertical="center"/>
    </xf>
    <xf numFmtId="167" fontId="13" fillId="7" borderId="0" applyAlignment="1" pivotButton="0" quotePrefix="0" xfId="0">
      <alignment horizontal="right" vertical="center"/>
    </xf>
    <xf numFmtId="0" fontId="16" fillId="8" borderId="0" applyAlignment="1" pivotButton="0" quotePrefix="0" xfId="0">
      <alignment horizontal="left" vertical="center"/>
    </xf>
    <xf numFmtId="3" fontId="17" fillId="8" borderId="0" applyAlignment="1" pivotButton="0" quotePrefix="0" xfId="0">
      <alignment horizontal="right" vertical="center"/>
    </xf>
    <xf numFmtId="0" fontId="0" fillId="8" borderId="0" pivotButton="0" quotePrefix="0" xfId="0"/>
    <xf numFmtId="3" fontId="17" fillId="0" borderId="0" applyAlignment="1" pivotButton="0" quotePrefix="0" xfId="0">
      <alignment horizontal="right" vertical="center"/>
    </xf>
    <xf numFmtId="165" fontId="17" fillId="0" borderId="0" applyAlignment="1" pivotButton="0" quotePrefix="0" xfId="0">
      <alignment horizontal="right" vertical="center"/>
    </xf>
    <xf numFmtId="168" fontId="17" fillId="8" borderId="0" applyAlignment="1" pivotButton="0" quotePrefix="0" xfId="0">
      <alignment horizontal="right" vertical="center"/>
    </xf>
    <xf numFmtId="168" fontId="14" fillId="8" borderId="0" applyAlignment="1" pivotButton="0" quotePrefix="0" xfId="0">
      <alignment horizontal="right" vertical="center"/>
    </xf>
    <xf numFmtId="164" fontId="17" fillId="8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left" vertical="center"/>
    </xf>
    <xf numFmtId="0" fontId="9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20" fillId="9" borderId="0" applyAlignment="1" pivotButton="0" quotePrefix="0" xfId="0">
      <alignment horizontal="left" vertical="center"/>
    </xf>
    <xf numFmtId="0" fontId="20" fillId="9" borderId="0" applyAlignment="1" pivotButton="0" quotePrefix="0" xfId="0">
      <alignment horizontal="center" vertical="center"/>
    </xf>
    <xf numFmtId="0" fontId="0" fillId="9" borderId="0" pivotButton="0" quotePrefix="0" xfId="0"/>
    <xf numFmtId="49" fontId="6" fillId="7" borderId="0" applyAlignment="1" pivotButton="0" quotePrefix="0" xfId="0">
      <alignment horizontal="left" vertical="center"/>
    </xf>
    <xf numFmtId="49" fontId="6" fillId="7" borderId="0" applyAlignment="1" pivotButton="0" quotePrefix="0" xfId="0">
      <alignment horizontal="center" vertical="center"/>
    </xf>
    <xf numFmtId="3" fontId="6" fillId="7" borderId="0" applyAlignment="1" pivotButton="0" quotePrefix="0" xfId="0">
      <alignment horizontal="center" vertical="center"/>
    </xf>
    <xf numFmtId="168" fontId="6" fillId="7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center" vertical="center"/>
    </xf>
    <xf numFmtId="3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center"/>
    </xf>
    <xf numFmtId="49" fontId="9" fillId="10" borderId="0" applyAlignment="1" pivotButton="0" quotePrefix="0" xfId="0">
      <alignment horizontal="left" vertical="center"/>
    </xf>
    <xf numFmtId="49" fontId="9" fillId="10" borderId="0" applyAlignment="1" pivotButton="0" quotePrefix="0" xfId="0">
      <alignment horizontal="center" vertical="center"/>
    </xf>
    <xf numFmtId="3" fontId="9" fillId="10" borderId="0" applyAlignment="1" pivotButton="0" quotePrefix="0" xfId="0">
      <alignment horizontal="center" vertical="center"/>
    </xf>
    <xf numFmtId="168" fontId="9" fillId="10" borderId="0" applyAlignment="1" pivotButton="0" quotePrefix="0" xfId="0">
      <alignment horizontal="center" vertical="center"/>
    </xf>
    <xf numFmtId="49" fontId="20" fillId="9" borderId="0" applyAlignment="1" pivotButton="0" quotePrefix="0" xfId="0">
      <alignment horizontal="left" vertical="center"/>
    </xf>
    <xf numFmtId="49" fontId="20" fillId="9" borderId="0" applyAlignment="1" pivotButton="0" quotePrefix="0" xfId="0">
      <alignment horizontal="center" vertical="center"/>
    </xf>
    <xf numFmtId="3" fontId="20" fillId="9" borderId="0" applyAlignment="1" pivotButton="0" quotePrefix="0" xfId="0">
      <alignment horizontal="center" vertical="center"/>
    </xf>
    <xf numFmtId="168" fontId="20" fillId="9" borderId="0" applyAlignment="1" pivotButton="0" quotePrefix="0" xfId="0">
      <alignment horizontal="center" vertical="center"/>
    </xf>
    <xf numFmtId="0" fontId="13" fillId="7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7" fillId="7" borderId="0" applyAlignment="1" pivotButton="0" quotePrefix="0" xfId="0">
      <alignment horizontal="center" vertical="center"/>
    </xf>
    <xf numFmtId="0" fontId="21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right" vertical="center"/>
    </xf>
    <xf numFmtId="164" fontId="12" fillId="3" borderId="0" applyAlignment="1" pivotButton="0" quotePrefix="0" xfId="0">
      <alignment horizontal="center" vertical="center"/>
    </xf>
    <xf numFmtId="168" fontId="21" fillId="9" borderId="0" applyAlignment="1" pivotButton="0" quotePrefix="0" xfId="0">
      <alignment horizontal="center" vertical="center"/>
    </xf>
    <xf numFmtId="168" fontId="0" fillId="7" borderId="0" applyAlignment="1" pivotButton="0" quotePrefix="0" xfId="0">
      <alignment horizontal="center" vertical="center"/>
    </xf>
    <xf numFmtId="168" fontId="22" fillId="11" borderId="0" applyAlignment="1" pivotButton="0" quotePrefix="0" xfId="0">
      <alignment horizontal="center" vertical="center"/>
    </xf>
    <xf numFmtId="168" fontId="23" fillId="12" borderId="0" applyAlignment="1" pivotButton="0" quotePrefix="0" xfId="0">
      <alignment horizontal="center" vertical="center"/>
    </xf>
    <xf numFmtId="168" fontId="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168" fontId="24" fillId="13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0" fillId="8" borderId="0" applyAlignment="1" pivotButton="0" quotePrefix="0" xfId="0">
      <alignment horizontal="center" vertical="center"/>
    </xf>
    <xf numFmtId="0" fontId="8" fillId="8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1.5" customWidth="1" min="1" max="1"/>
    <col width="1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.5" customWidth="1" min="10" max="10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5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42" customHeight="1">
      <c r="B3" s="2" t="inlineStr">
        <is>
          <t>Ferrari N.V.  (NYSE: RACE  |  BIT: RACE)</t>
        </is>
      </c>
    </row>
    <row r="4" ht="16" customHeight="1">
      <c r="B4" s="3" t="inlineStr">
        <is>
          <t>Equity Research  |  Initiating Coverage  |  February 26, 2026</t>
        </is>
      </c>
    </row>
    <row r="5" ht="14" customHeight="1">
      <c r="B5" s="4" t="inlineStr">
        <is>
          <t>Luxury Goods / Consumer Discretionary  |  Francisco Rodriguez</t>
        </is>
      </c>
    </row>
    <row r="6" ht="3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</row>
    <row r="7" ht="38" customHeight="1">
      <c r="B7" s="5" t="inlineStr">
        <is>
          <t>RATING
OVERWEIGHT</t>
        </is>
      </c>
      <c r="D7" s="6" t="inlineStr">
        <is>
          <t>PRICE TARGET
$450</t>
        </is>
      </c>
      <c r="F7" s="7" t="inlineStr">
        <is>
          <t>CURRENT PRICE
$375¹</t>
        </is>
      </c>
      <c r="H7" s="8" t="inlineStr">
        <is>
          <t>UPSIDE
+19.8%</t>
        </is>
      </c>
      <c r="J7" s="9" t="n"/>
    </row>
    <row r="8" ht="8" customHeight="1"/>
    <row r="9" ht="14" customHeight="1">
      <c r="B9" s="10" t="inlineStr">
        <is>
          <t>KEY STATISTICS  (FY2025A reported Feb 10, 2026)</t>
        </is>
      </c>
      <c r="F9" s="10" t="inlineStr">
        <is>
          <t>VALUATION SUMMARY</t>
        </is>
      </c>
    </row>
    <row r="10" ht="13" customHeight="1">
      <c r="B10" s="11" t="inlineStr">
        <is>
          <t>Fiscal Year End</t>
        </is>
      </c>
      <c r="E10" s="12" t="inlineStr">
        <is>
          <t>December</t>
        </is>
      </c>
      <c r="F10" s="11" t="inlineStr">
        <is>
          <t>52-Wk High / Low</t>
        </is>
      </c>
      <c r="I10" s="13" t="inlineStr">
        <is>
          <t>$519.10 / $328.00</t>
        </is>
      </c>
    </row>
    <row r="11" ht="13" customHeight="1">
      <c r="B11" s="14" t="inlineStr">
        <is>
          <t>Shares Outstanding</t>
        </is>
      </c>
      <c r="E11" s="15" t="inlineStr">
        <is>
          <t>~180M diluted</t>
        </is>
      </c>
      <c r="F11" s="14" t="inlineStr">
        <is>
          <t>Current vs 52-Wk High</t>
        </is>
      </c>
      <c r="I11" s="16" t="inlineStr">
        <is>
          <t>–27.8%  ← entry point</t>
        </is>
      </c>
    </row>
    <row r="12" ht="13" customHeight="1">
      <c r="B12" s="11" t="inlineStr">
        <is>
          <t>Market Cap</t>
        </is>
      </c>
      <c r="E12" s="12" t="inlineStr">
        <is>
          <t>~$67B USD</t>
        </is>
      </c>
      <c r="F12" s="11" t="inlineStr">
        <is>
          <t>DCF Intrinsic Value</t>
        </is>
      </c>
      <c r="I12" s="13" t="inlineStr">
        <is>
          <t>$351/share</t>
        </is>
      </c>
    </row>
    <row r="13" ht="13" customHeight="1">
      <c r="B13" s="14" t="inlineStr">
        <is>
          <t>Enterprise Value</t>
        </is>
      </c>
      <c r="E13" s="15" t="inlineStr">
        <is>
          <t>~$69B USD</t>
        </is>
      </c>
      <c r="F13" s="14" t="inlineStr">
        <is>
          <t>Comps Value (27x '26E)</t>
        </is>
      </c>
      <c r="I13" s="17" t="inlineStr">
        <is>
          <t>$498/share</t>
        </is>
      </c>
    </row>
    <row r="14" ht="13" customHeight="1">
      <c r="B14" s="11" t="inlineStr">
        <is>
          <t>Net Industrial Debt</t>
        </is>
      </c>
      <c r="E14" s="12" t="inlineStr">
        <is>
          <t>€180M  (0.06x EBITDA)</t>
        </is>
      </c>
      <c r="F14" s="11" t="inlineStr">
        <is>
          <t>Blended PT (40/60)</t>
        </is>
      </c>
      <c r="I14" s="13" t="inlineStr">
        <is>
          <t>$450/share</t>
        </is>
      </c>
    </row>
    <row r="15" ht="13" customHeight="1">
      <c r="B15" s="14" t="inlineStr">
        <is>
          <t>FY2025A Revenue</t>
        </is>
      </c>
      <c r="E15" s="15" t="inlineStr">
        <is>
          <t>€7,146M  (+7.0% YoY)</t>
        </is>
      </c>
      <c r="F15" s="14" t="inlineStr">
        <is>
          <t>Base WACC</t>
        </is>
      </c>
      <c r="I15" s="17" t="inlineStr">
        <is>
          <t>7.5%  (luxury goods β=0.75)</t>
        </is>
      </c>
    </row>
    <row r="16" ht="13" customHeight="1">
      <c r="B16" s="11" t="inlineStr">
        <is>
          <t>FY2025A EBITDA</t>
        </is>
      </c>
      <c r="E16" s="12" t="inlineStr">
        <is>
          <t>€2,772M  (38.8% margin)</t>
        </is>
      </c>
      <c r="F16" s="11" t="inlineStr">
        <is>
          <t>Analyst Consensus PT</t>
        </is>
      </c>
      <c r="I16" s="13" t="inlineStr">
        <is>
          <t>$495  (Strong Buy)</t>
        </is>
      </c>
    </row>
    <row r="17" ht="13" customHeight="1">
      <c r="B17" s="14" t="inlineStr">
        <is>
          <t>FY2025A Deliveries</t>
        </is>
      </c>
      <c r="E17" s="15" t="inlineStr">
        <is>
          <t>~14,000 units</t>
        </is>
      </c>
      <c r="F17" s="14" t="inlineStr">
        <is>
          <t>EUR/USD</t>
        </is>
      </c>
      <c r="I17" s="17" t="inlineStr">
        <is>
          <t>1.18x</t>
        </is>
      </c>
    </row>
    <row r="19" ht="8" customHeight="1">
      <c r="B19" s="10" t="inlineStr">
        <is>
          <t>"THE LUCE CATALYST" — WHY THE MARKET HAS THIS WRONG</t>
        </is>
      </c>
    </row>
    <row r="20" ht="78" customHeight="1">
      <c r="B20" s="18" t="inlineStr">
        <is>
          <t>Ferrari is trading 28% below its 52-week high despite just reporting FY2025 results that beat its own Capital Markets Day targets one full year early. The selloff reflects two market fears: (1) luxury goods sector multiple compression on China demand concerns, and (2) EV transition margin headwinds — the same fears applied to BMW, Mercedes, and every other automaker. We think fear #2 is categorically wrong for Ferrari. The Luce — Ferrari's first all-electric car, designed by Jony Ive, delivering Q4 2026 — is priced above €600K. The fleet average ASP is ~€520K. This is not a margin headwind. This is an ASP accelerant. We initiate Overweight with a $450 PT based on a 40/60 blend of DCF ($351) and comps (27x FY2026E EBITDA = $498).</t>
        </is>
      </c>
    </row>
    <row r="21" ht="62" customHeight="1">
      <c r="B21" s="19" t="inlineStr">
        <is>
          <t>1.  The Luce — Ferrari's First EV Is an ASP Catalyst, Not a Cost Headwind</t>
        </is>
      </c>
      <c r="D21" s="20" t="inlineStr">
        <is>
          <t>Every automaker's EV is cheaper than its ICE equivalent — BMW i4 vs BMW 4 Series, Mercedes EQS vs S-Class. Ferrari's Luce inverts this. With 1,000+ hp, Jony Ive interior design, and an expected price above €600K, the Luce is priced at a PREMIUM to the current fleet average (~€520K ASP). The market is applying BMW EV margin math to a company that operates more like Hermès. When Q4 2026 deliveries demonstrate margin accretion, the multiple re-rates from ~22x (current) back toward 27-28x EV/EBITDA.</t>
        </is>
      </c>
    </row>
    <row r="22" ht="62" customHeight="1">
      <c r="B22" s="21" t="inlineStr">
        <is>
          <t>2.  FY2025A Beat CMD Targets 1 Year Early — Management Has Earned the Benefit of the Doubt</t>
        </is>
      </c>
      <c r="D22" s="18" t="inlineStr">
        <is>
          <t>Ferrari's Capital Markets Day (Oct 2025) set FY2026 profitability targets. Ferrari hit them in FY2025. Revenue €7,146M, EBITDA margin 38.8%, EPS €8.96. 2026 guidance: revenue ~€7.5B, EBITDA margin ~39%, EPS ≥€9.45. Under CEO Benedetto Vigna, Ferrari has delivered every commitment. The track record de-risks the forward estimates significantly — execution risk, the main bear argument, is the weakest it has ever been.</t>
        </is>
      </c>
    </row>
    <row r="23" ht="62" customHeight="1">
      <c r="B23" s="19" t="inlineStr">
        <is>
          <t>3.  Multiple Compression Created the Entry Point — This Is Macro, Not Fundamental</t>
        </is>
      </c>
      <c r="D23" s="20" t="inlineStr">
        <is>
          <t>Ferrari's EV/EBITDA compressed from ~30x (early 2025) to ~22x today. FY2024A and FY2025A results both beat estimates. The compression is 100% multiple-driven — the luxury sector de-rated broadly on China demand fears. Ferrari's China/HK exposure is ~10% of deliveries vs. 25-35% for LVMH and Hermès. Ferrari is being punished for peers' China risk it doesn't meaningfully share. Re-rating to 27x on FY2026E guidance gets you to $498/share.</t>
        </is>
      </c>
    </row>
    <row r="24" ht="62" customHeight="1">
      <c r="B24" s="21" t="inlineStr">
        <is>
          <t>4.  Constrained Supply = Pricing Power That Compounds — The Hermès Parallel</t>
        </is>
      </c>
      <c r="D24" s="18" t="inlineStr">
        <is>
          <t>Ferrari delivered ~13,752 cars in FY2024 — roughly the same as 5 years ago. Volume grows ~3% annually by design. This manufactured scarcity drives 5-6% annual ASP growth without discounting, fleet protection, or advertising. Combined with Tailor-Made personalization (15-40% premiums, 70%+ margins), EBITDA margins are on a structural path from 38.8% (FY2025A) toward 43%+ (FY2030E). Hermès operates the same model with Birkin bags. Hermès trades at 38x EV/EBITDA. Ferrari at 22x.</t>
        </is>
      </c>
    </row>
    <row r="26" ht="8" customHeight="1">
      <c r="B26" s="22" t="inlineStr">
        <is>
          <t>KEY RISKS</t>
        </is>
      </c>
    </row>
    <row r="27" ht="13" customHeight="1">
      <c r="B27" s="23" t="inlineStr">
        <is>
          <t>▪  Multiple stays compressed</t>
        </is>
      </c>
      <c r="C27" s="24" t="n"/>
      <c r="D27" s="25" t="inlineStr">
        <is>
          <t>If luxury sector re-rating continues, Ferrari stays at 20-22x and stock stagnates</t>
        </is>
      </c>
    </row>
    <row r="28" ht="13" customHeight="1">
      <c r="B28" s="26" t="inlineStr">
        <is>
          <t>▪  Luce margins disappoint</t>
        </is>
      </c>
      <c r="D28" s="27" t="inlineStr">
        <is>
          <t>Battery cost overruns or pricing below €500K would validate the bear EV thesis</t>
        </is>
      </c>
    </row>
    <row r="29" ht="13" customHeight="1">
      <c r="B29" s="23" t="inlineStr">
        <is>
          <t>▪  China demand worsens</t>
        </is>
      </c>
      <c r="C29" s="24" t="n"/>
      <c r="D29" s="25" t="inlineStr">
        <is>
          <t>~10% exposure but sentiment-driven selloff could pressure stock further</t>
        </is>
      </c>
    </row>
    <row r="30" ht="13" customHeight="1">
      <c r="B30" s="26" t="inlineStr">
        <is>
          <t>▪  Recession risk</t>
        </is>
      </c>
      <c r="D30" s="27" t="inlineStr">
        <is>
          <t>Luxury demand correlates with high-net-worth wealth levels — market crash = demand hit</t>
        </is>
      </c>
    </row>
    <row r="32" ht="14" customHeight="1">
      <c r="B32" s="28" t="inlineStr">
        <is>
          <t>¹ Current price $375.50 as of Feb 26, 2026. 52-wk range: $328.00–$519.10. FY2025A financials released Feb 10, 2026. All figures EUR millions unless noted. EUR/USD: 1.18. Source: Ferrari N.V. Annual Reports FY2023–FY2025.</t>
        </is>
      </c>
    </row>
    <row r="33" ht="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 ht="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</sheetData>
  <mergeCells count="41">
    <mergeCell ref="B11:D11"/>
    <mergeCell ref="B9:E9"/>
    <mergeCell ref="D27:I27"/>
    <mergeCell ref="B14:D14"/>
    <mergeCell ref="B7:C7"/>
    <mergeCell ref="F9:I9"/>
    <mergeCell ref="B17:D17"/>
    <mergeCell ref="B13:D13"/>
    <mergeCell ref="B22:C22"/>
    <mergeCell ref="F17:H17"/>
    <mergeCell ref="F7:G7"/>
    <mergeCell ref="B10:D10"/>
    <mergeCell ref="B21:C21"/>
    <mergeCell ref="D28:I28"/>
    <mergeCell ref="F13:H13"/>
    <mergeCell ref="B23:C23"/>
    <mergeCell ref="B15:D15"/>
    <mergeCell ref="B32:I32"/>
    <mergeCell ref="D30:I30"/>
    <mergeCell ref="D24:I24"/>
    <mergeCell ref="B5:J5"/>
    <mergeCell ref="D7:E7"/>
    <mergeCell ref="F14:H14"/>
    <mergeCell ref="D29:I29"/>
    <mergeCell ref="H7:I7"/>
    <mergeCell ref="D23:I23"/>
    <mergeCell ref="B19:I19"/>
    <mergeCell ref="B4:J4"/>
    <mergeCell ref="F11:H11"/>
    <mergeCell ref="B16:D16"/>
    <mergeCell ref="F10:H10"/>
    <mergeCell ref="F16:H16"/>
    <mergeCell ref="B3:J3"/>
    <mergeCell ref="B24:C24"/>
    <mergeCell ref="D22:I22"/>
    <mergeCell ref="B20:I20"/>
    <mergeCell ref="F12:H12"/>
    <mergeCell ref="B12:D12"/>
    <mergeCell ref="F15:H15"/>
    <mergeCell ref="D21:I21"/>
    <mergeCell ref="B26:I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1.5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.5" customWidth="1" min="11" max="11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0" customHeight="1">
      <c r="B2" s="29" t="inlineStr">
        <is>
          <t>Ferrari N.V. — Model Assumptions  (FY2025A = most recent reported)</t>
        </is>
      </c>
    </row>
    <row r="3" ht="16" customHeight="1">
      <c r="B3" s="30" t="inlineStr">
        <is>
          <t>Metric</t>
        </is>
      </c>
      <c r="C3" s="31" t="inlineStr">
        <is>
          <t>FY2023A</t>
        </is>
      </c>
      <c r="D3" s="31" t="inlineStr">
        <is>
          <t>FY2024A</t>
        </is>
      </c>
      <c r="E3" s="31" t="inlineStr">
        <is>
          <t>FY2025A</t>
        </is>
      </c>
      <c r="F3" s="32" t="inlineStr">
        <is>
          <t>FY2026E</t>
        </is>
      </c>
      <c r="G3" s="32" t="inlineStr">
        <is>
          <t>FY2027E</t>
        </is>
      </c>
      <c r="H3" s="32" t="inlineStr">
        <is>
          <t>FY2028E</t>
        </is>
      </c>
      <c r="I3" s="32" t="inlineStr">
        <is>
          <t>FY2029E</t>
        </is>
      </c>
      <c r="J3" s="32" t="inlineStr">
        <is>
          <t>FY2030E</t>
        </is>
      </c>
    </row>
    <row r="4" ht="6" customHeight="1">
      <c r="B4" s="22" t="inlineStr">
        <is>
          <t>UNIT ECONOMICS — VOLUME &amp; PRICING</t>
        </is>
      </c>
    </row>
    <row r="5" ht="13" customHeight="1">
      <c r="B5" s="33" t="inlineStr">
        <is>
          <t>Total Deliveries (units)</t>
        </is>
      </c>
      <c r="C5" s="34" t="n">
        <v>13663</v>
      </c>
      <c r="D5" s="34" t="n">
        <v>13752</v>
      </c>
      <c r="E5" s="34" t="n">
        <v>14000</v>
      </c>
      <c r="F5" s="35">
        <f>ROUND(E5*(1+F6),0)</f>
        <v/>
      </c>
      <c r="G5" s="35">
        <f>ROUND(F5*(1+G6),0)</f>
        <v/>
      </c>
      <c r="H5" s="35">
        <f>ROUND(G5*(1+H6),0)</f>
        <v/>
      </c>
      <c r="I5" s="35">
        <f>ROUND(H5*(1+I6),0)</f>
        <v/>
      </c>
      <c r="J5" s="35">
        <f>ROUND(I5*(1+J6),0)</f>
        <v/>
      </c>
    </row>
    <row r="6" ht="13" customHeight="1">
      <c r="B6" s="36" t="inlineStr">
        <is>
          <t xml:space="preserve">  Volume Growth %</t>
        </is>
      </c>
      <c r="C6" s="37" t="inlineStr">
        <is>
          <t>—</t>
        </is>
      </c>
      <c r="D6" s="38">
        <f>E5/D5-1</f>
        <v/>
      </c>
      <c r="E6" s="38">
        <f>F5/E5-1</f>
        <v/>
      </c>
      <c r="F6" s="39" t="n">
        <v>0.03</v>
      </c>
      <c r="G6" s="39" t="n">
        <v>0.035</v>
      </c>
      <c r="H6" s="39" t="n">
        <v>0.03</v>
      </c>
      <c r="I6" s="39" t="n">
        <v>0.03</v>
      </c>
      <c r="J6" s="39" t="n">
        <v>0.03</v>
      </c>
    </row>
    <row r="7" ht="13" customHeight="1">
      <c r="B7" s="40" t="inlineStr">
        <is>
          <t xml:space="preserve">  ASP Growth % (Cars &amp; Spare Parts)</t>
        </is>
      </c>
      <c r="C7" s="41" t="inlineStr">
        <is>
          <t>—</t>
        </is>
      </c>
      <c r="D7" s="41" t="inlineStr">
        <is>
          <t>—</t>
        </is>
      </c>
      <c r="E7" s="41" t="inlineStr">
        <is>
          <t>—</t>
        </is>
      </c>
      <c r="F7" s="39" t="n">
        <v>0.06</v>
      </c>
      <c r="G7" s="39" t="n">
        <v>0.07000000000000001</v>
      </c>
      <c r="H7" s="39" t="n">
        <v>0.055</v>
      </c>
      <c r="I7" s="39" t="n">
        <v>0.05</v>
      </c>
      <c r="J7" s="39" t="n">
        <v>0.05</v>
      </c>
    </row>
    <row r="8" ht="13" customHeight="1">
      <c r="B8" s="42" t="inlineStr">
        <is>
          <t>Cars &amp; Spare Parts Revenue (€M)</t>
        </is>
      </c>
      <c r="C8" s="34" t="n">
        <v>4732</v>
      </c>
      <c r="D8" s="34" t="n">
        <v>5349</v>
      </c>
      <c r="E8" s="34" t="n">
        <v>5801</v>
      </c>
      <c r="F8" s="43">
        <f>E8*(1+F6)*(1+F7)</f>
        <v/>
      </c>
      <c r="G8" s="43">
        <f>F8*(1+G6)*(1+G7)</f>
        <v/>
      </c>
      <c r="H8" s="43">
        <f>G8*(1+H6)*(1+H7)</f>
        <v/>
      </c>
      <c r="I8" s="43">
        <f>H8*(1+I6)*(1+I7)</f>
        <v/>
      </c>
      <c r="J8" s="43">
        <f>I8*(1+J6)*(1+J7)</f>
        <v/>
      </c>
    </row>
    <row r="9" ht="13" customHeight="1">
      <c r="B9" s="44" t="inlineStr">
        <is>
          <t>Engines Revenue (€M)</t>
        </is>
      </c>
      <c r="C9" s="34" t="n">
        <v>519</v>
      </c>
      <c r="D9" s="34" t="n">
        <v>480</v>
      </c>
      <c r="E9" s="34" t="n">
        <v>460</v>
      </c>
      <c r="F9" s="34" t="n">
        <v>450</v>
      </c>
      <c r="G9" s="34" t="n">
        <v>430</v>
      </c>
      <c r="H9" s="34" t="n">
        <v>410</v>
      </c>
      <c r="I9" s="34" t="n">
        <v>390</v>
      </c>
      <c r="J9" s="34" t="n">
        <v>370</v>
      </c>
    </row>
    <row r="10" ht="13" customHeight="1">
      <c r="B10" s="45" t="inlineStr">
        <is>
          <t>Sponsorship, Commercial &amp; Brand (€M)</t>
        </is>
      </c>
      <c r="C10" s="34" t="n">
        <v>479</v>
      </c>
      <c r="D10" s="34" t="n">
        <v>556</v>
      </c>
      <c r="E10" s="34" t="n">
        <v>620</v>
      </c>
      <c r="F10" s="34" t="n">
        <v>660</v>
      </c>
      <c r="G10" s="34" t="n">
        <v>710</v>
      </c>
      <c r="H10" s="34" t="n">
        <v>760</v>
      </c>
      <c r="I10" s="34" t="n">
        <v>810</v>
      </c>
      <c r="J10" s="34" t="n">
        <v>860</v>
      </c>
    </row>
    <row r="11" ht="13" customHeight="1">
      <c r="B11" s="44" t="inlineStr">
        <is>
          <t>Financial Services Revenue (€M)</t>
        </is>
      </c>
      <c r="C11" s="34" t="n">
        <v>240</v>
      </c>
      <c r="D11" s="34" t="n">
        <v>292</v>
      </c>
      <c r="E11" s="34" t="n">
        <v>265</v>
      </c>
      <c r="F11" s="34" t="n">
        <v>290</v>
      </c>
      <c r="G11" s="34" t="n">
        <v>315</v>
      </c>
      <c r="H11" s="34" t="n">
        <v>340</v>
      </c>
      <c r="I11" s="34" t="n">
        <v>365</v>
      </c>
      <c r="J11" s="34" t="n">
        <v>395</v>
      </c>
    </row>
    <row r="12" ht="14" customHeight="1">
      <c r="B12" s="46" t="inlineStr">
        <is>
          <t>Total Revenue (€M)</t>
        </is>
      </c>
      <c r="C12" s="47">
        <f>C8+C9+C10+C11</f>
        <v/>
      </c>
      <c r="D12" s="47">
        <f>D8+D9+D10+D11</f>
        <v/>
      </c>
      <c r="E12" s="47">
        <f>E8+E9+E10+E11</f>
        <v/>
      </c>
      <c r="F12" s="47">
        <f>F8+F9+F10+F11</f>
        <v/>
      </c>
      <c r="G12" s="47">
        <f>G8+G9+G10+G11</f>
        <v/>
      </c>
      <c r="H12" s="47">
        <f>H8+H9+H10+H11</f>
        <v/>
      </c>
      <c r="I12" s="47">
        <f>I8+I9+I10+I11</f>
        <v/>
      </c>
      <c r="J12" s="47">
        <f>J8+J9+J10+J11</f>
        <v/>
      </c>
    </row>
    <row r="13" ht="13" customHeight="1">
      <c r="B13" s="36" t="inlineStr">
        <is>
          <t xml:space="preserve">  Revenue Growth %</t>
        </is>
      </c>
      <c r="C13" s="24" t="n"/>
      <c r="D13" s="38">
        <f>D12/C12-1</f>
        <v/>
      </c>
      <c r="E13" s="38">
        <f>E12/D12-1</f>
        <v/>
      </c>
      <c r="F13" s="38">
        <f>F12/E12-1</f>
        <v/>
      </c>
      <c r="G13" s="38">
        <f>G12/F12-1</f>
        <v/>
      </c>
      <c r="H13" s="38">
        <f>H12/G12-1</f>
        <v/>
      </c>
      <c r="I13" s="38">
        <f>I12/H12-1</f>
        <v/>
      </c>
      <c r="J13" s="38">
        <f>J12/I12-1</f>
        <v/>
      </c>
    </row>
    <row r="14" ht="6" customHeight="1">
      <c r="B14" s="22" t="inlineStr">
        <is>
          <t>MARGIN &amp; P&amp;L ASSUMPTIONS</t>
        </is>
      </c>
    </row>
    <row r="15" ht="13" customHeight="1">
      <c r="B15" s="45" t="inlineStr">
        <is>
          <t>EBITDA Margin %</t>
        </is>
      </c>
      <c r="C15" s="39" t="n">
        <v>0.382</v>
      </c>
      <c r="D15" s="39" t="n">
        <v>0.383</v>
      </c>
      <c r="E15" s="39" t="n">
        <v>0.388</v>
      </c>
      <c r="F15" s="39" t="n">
        <v>0.39</v>
      </c>
      <c r="G15" s="39" t="n">
        <v>0.4</v>
      </c>
      <c r="H15" s="39" t="n">
        <v>0.415</v>
      </c>
      <c r="I15" s="39" t="n">
        <v>0.425</v>
      </c>
      <c r="J15" s="39" t="n">
        <v>0.435</v>
      </c>
    </row>
    <row r="16" ht="13" customHeight="1">
      <c r="B16" s="44" t="inlineStr">
        <is>
          <t>D&amp;A (€M)</t>
        </is>
      </c>
      <c r="C16" s="34" t="n">
        <v>414</v>
      </c>
      <c r="D16" s="34" t="n">
        <v>421</v>
      </c>
      <c r="E16" s="34" t="n">
        <v>430</v>
      </c>
      <c r="F16" s="34" t="n">
        <v>450</v>
      </c>
      <c r="G16" s="34" t="n">
        <v>460</v>
      </c>
      <c r="H16" s="34" t="n">
        <v>465</v>
      </c>
      <c r="I16" s="34" t="n">
        <v>465</v>
      </c>
      <c r="J16" s="34" t="n">
        <v>460</v>
      </c>
    </row>
    <row r="17" ht="13" customHeight="1">
      <c r="B17" s="45" t="inlineStr">
        <is>
          <t>Capex (€M)</t>
        </is>
      </c>
      <c r="C17" s="34" t="n">
        <v>749</v>
      </c>
      <c r="D17" s="34" t="n">
        <v>989</v>
      </c>
      <c r="E17" s="34" t="n">
        <v>900</v>
      </c>
      <c r="F17" s="34" t="n">
        <v>870</v>
      </c>
      <c r="G17" s="34" t="n">
        <v>820</v>
      </c>
      <c r="H17" s="34" t="n">
        <v>760</v>
      </c>
      <c r="I17" s="34" t="n">
        <v>700</v>
      </c>
      <c r="J17" s="34" t="n">
        <v>650</v>
      </c>
    </row>
    <row r="18" ht="13" customHeight="1">
      <c r="B18" s="44" t="inlineStr">
        <is>
          <t>Δ Working Capital (€M)</t>
        </is>
      </c>
      <c r="C18" s="34" t="n">
        <v>95</v>
      </c>
      <c r="D18" s="34" t="n">
        <v>90</v>
      </c>
      <c r="E18" s="34" t="n">
        <v>90</v>
      </c>
      <c r="F18" s="34" t="n">
        <v>100</v>
      </c>
      <c r="G18" s="34" t="n">
        <v>100</v>
      </c>
      <c r="H18" s="34" t="n">
        <v>80</v>
      </c>
      <c r="I18" s="34" t="n">
        <v>80</v>
      </c>
      <c r="J18" s="34" t="n">
        <v>80</v>
      </c>
    </row>
    <row r="19" ht="13" customHeight="1">
      <c r="B19" s="45" t="inlineStr">
        <is>
          <t>Tax Rate %</t>
        </is>
      </c>
      <c r="C19" s="39" t="n">
        <v>0.245</v>
      </c>
      <c r="D19" s="39" t="n">
        <v>0.251</v>
      </c>
      <c r="E19" s="39" t="n">
        <v>0.25</v>
      </c>
      <c r="F19" s="39" t="n">
        <v>0.25</v>
      </c>
      <c r="G19" s="39" t="n">
        <v>0.25</v>
      </c>
      <c r="H19" s="39" t="n">
        <v>0.25</v>
      </c>
      <c r="I19" s="39" t="n">
        <v>0.25</v>
      </c>
      <c r="J19" s="39" t="n">
        <v>0.25</v>
      </c>
    </row>
    <row r="20" ht="13" customHeight="1">
      <c r="B20" s="44" t="inlineStr">
        <is>
          <t>EUR/USD Exchange Rate</t>
        </is>
      </c>
      <c r="C20" s="48" t="n">
        <v>1.08</v>
      </c>
      <c r="D20" s="48" t="n">
        <v>1.09</v>
      </c>
      <c r="E20" s="48" t="n">
        <v>1.18</v>
      </c>
      <c r="F20" s="48" t="n">
        <v>1.18</v>
      </c>
      <c r="G20" s="48" t="n">
        <v>1.18</v>
      </c>
      <c r="H20" s="48" t="n">
        <v>1.18</v>
      </c>
      <c r="I20" s="48" t="n">
        <v>1.18</v>
      </c>
      <c r="J20" s="48" t="n">
        <v>1.18</v>
      </c>
    </row>
    <row r="22" ht="4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</sheetData>
  <mergeCells count="3">
    <mergeCell ref="B4:J4"/>
    <mergeCell ref="B14:J14"/>
    <mergeCell ref="B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1.5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.5" customWidth="1" min="11" max="11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0" customHeight="1">
      <c r="B2" s="29" t="inlineStr">
        <is>
          <t>Ferrari N.V. — Income Statement &amp; Free Cash Flow  (€M)</t>
        </is>
      </c>
    </row>
    <row r="3" ht="16" customHeight="1">
      <c r="B3" s="30" t="inlineStr"/>
      <c r="C3" s="31" t="inlineStr">
        <is>
          <t>FY2023A</t>
        </is>
      </c>
      <c r="D3" s="31" t="inlineStr">
        <is>
          <t>FY2024A</t>
        </is>
      </c>
      <c r="E3" s="31" t="inlineStr">
        <is>
          <t>FY2025A</t>
        </is>
      </c>
      <c r="F3" s="32" t="inlineStr">
        <is>
          <t>FY2026E</t>
        </is>
      </c>
      <c r="G3" s="32" t="inlineStr">
        <is>
          <t>FY2027E</t>
        </is>
      </c>
      <c r="H3" s="32" t="inlineStr">
        <is>
          <t>FY2028E</t>
        </is>
      </c>
      <c r="I3" s="32" t="inlineStr">
        <is>
          <t>FY2029E</t>
        </is>
      </c>
      <c r="J3" s="32" t="inlineStr">
        <is>
          <t>FY2030E</t>
        </is>
      </c>
    </row>
    <row r="4" ht="6" customHeight="1">
      <c r="B4" s="22" t="inlineStr">
        <is>
          <t>REVENUE BREAKDOWN</t>
        </is>
      </c>
    </row>
    <row r="5" ht="13" customHeight="1">
      <c r="B5" s="42" t="inlineStr">
        <is>
          <t>Cars &amp; Spare Parts</t>
        </is>
      </c>
      <c r="C5" s="49">
        <f>Assumptions!C8</f>
        <v/>
      </c>
      <c r="D5" s="49">
        <f>Assumptions!D8</f>
        <v/>
      </c>
      <c r="E5" s="49">
        <f>Assumptions!E8</f>
        <v/>
      </c>
      <c r="F5" s="49">
        <f>Assumptions!F8</f>
        <v/>
      </c>
      <c r="G5" s="49">
        <f>Assumptions!G8</f>
        <v/>
      </c>
      <c r="H5" s="49">
        <f>Assumptions!H8</f>
        <v/>
      </c>
      <c r="I5" s="49">
        <f>Assumptions!I8</f>
        <v/>
      </c>
      <c r="J5" s="49">
        <f>Assumptions!J8</f>
        <v/>
      </c>
    </row>
    <row r="6" ht="13" customHeight="1">
      <c r="B6" s="44" t="inlineStr">
        <is>
          <t>Engines</t>
        </is>
      </c>
      <c r="C6" s="49">
        <f>Assumptions!C9</f>
        <v/>
      </c>
      <c r="D6" s="49">
        <f>Assumptions!D9</f>
        <v/>
      </c>
      <c r="E6" s="49">
        <f>Assumptions!E9</f>
        <v/>
      </c>
      <c r="F6" s="49">
        <f>Assumptions!F9</f>
        <v/>
      </c>
      <c r="G6" s="49">
        <f>Assumptions!G9</f>
        <v/>
      </c>
      <c r="H6" s="49">
        <f>Assumptions!H9</f>
        <v/>
      </c>
      <c r="I6" s="49">
        <f>Assumptions!I9</f>
        <v/>
      </c>
      <c r="J6" s="49">
        <f>Assumptions!J9</f>
        <v/>
      </c>
    </row>
    <row r="7" ht="13" customHeight="1">
      <c r="B7" s="45" t="inlineStr">
        <is>
          <t>Sponsorship, Commercial &amp; Brand</t>
        </is>
      </c>
      <c r="C7" s="49">
        <f>Assumptions!C10</f>
        <v/>
      </c>
      <c r="D7" s="49">
        <f>Assumptions!D10</f>
        <v/>
      </c>
      <c r="E7" s="49">
        <f>Assumptions!E10</f>
        <v/>
      </c>
      <c r="F7" s="49">
        <f>Assumptions!F10</f>
        <v/>
      </c>
      <c r="G7" s="49">
        <f>Assumptions!G10</f>
        <v/>
      </c>
      <c r="H7" s="49">
        <f>Assumptions!H10</f>
        <v/>
      </c>
      <c r="I7" s="49">
        <f>Assumptions!I10</f>
        <v/>
      </c>
      <c r="J7" s="49">
        <f>Assumptions!J10</f>
        <v/>
      </c>
    </row>
    <row r="8" ht="13" customHeight="1">
      <c r="B8" s="44" t="inlineStr">
        <is>
          <t>Financial Services</t>
        </is>
      </c>
      <c r="C8" s="49">
        <f>Assumptions!C11</f>
        <v/>
      </c>
      <c r="D8" s="49">
        <f>Assumptions!D11</f>
        <v/>
      </c>
      <c r="E8" s="49">
        <f>Assumptions!E11</f>
        <v/>
      </c>
      <c r="F8" s="49">
        <f>Assumptions!F11</f>
        <v/>
      </c>
      <c r="G8" s="49">
        <f>Assumptions!G11</f>
        <v/>
      </c>
      <c r="H8" s="49">
        <f>Assumptions!H11</f>
        <v/>
      </c>
      <c r="I8" s="49">
        <f>Assumptions!I11</f>
        <v/>
      </c>
      <c r="J8" s="49">
        <f>Assumptions!J11</f>
        <v/>
      </c>
    </row>
    <row r="9" ht="14" customHeight="1">
      <c r="B9" s="46" t="inlineStr">
        <is>
          <t>Total Revenue</t>
        </is>
      </c>
      <c r="C9" s="49">
        <f>Assumptions!C12</f>
        <v/>
      </c>
      <c r="D9" s="49">
        <f>Assumptions!D12</f>
        <v/>
      </c>
      <c r="E9" s="49">
        <f>Assumptions!E12</f>
        <v/>
      </c>
      <c r="F9" s="49">
        <f>Assumptions!F12</f>
        <v/>
      </c>
      <c r="G9" s="49">
        <f>Assumptions!G12</f>
        <v/>
      </c>
      <c r="H9" s="49">
        <f>Assumptions!H12</f>
        <v/>
      </c>
      <c r="I9" s="49">
        <f>Assumptions!I12</f>
        <v/>
      </c>
      <c r="J9" s="49">
        <f>Assumptions!J12</f>
        <v/>
      </c>
    </row>
    <row r="10" ht="13" customHeight="1">
      <c r="B10" s="36" t="inlineStr">
        <is>
          <t xml:space="preserve">  YoY Growth %</t>
        </is>
      </c>
      <c r="C10" s="24" t="n"/>
      <c r="D10" s="38">
        <f>D9/C9-1</f>
        <v/>
      </c>
      <c r="E10" s="38">
        <f>E9/D9-1</f>
        <v/>
      </c>
      <c r="F10" s="38">
        <f>F9/E9-1</f>
        <v/>
      </c>
      <c r="G10" s="38">
        <f>G9/F9-1</f>
        <v/>
      </c>
      <c r="H10" s="38">
        <f>H9/G9-1</f>
        <v/>
      </c>
      <c r="I10" s="38">
        <f>I9/H9-1</f>
        <v/>
      </c>
      <c r="J10" s="38">
        <f>J9/I9-1</f>
        <v/>
      </c>
    </row>
    <row r="11" ht="13" customHeight="1">
      <c r="B11" s="40" t="inlineStr">
        <is>
          <t xml:space="preserve">  Deliveries (units)</t>
        </is>
      </c>
      <c r="C11" s="49">
        <f>Assumptions!C5</f>
        <v/>
      </c>
      <c r="D11" s="49">
        <f>Assumptions!D5</f>
        <v/>
      </c>
      <c r="E11" s="49">
        <f>Assumptions!E5</f>
        <v/>
      </c>
      <c r="F11" s="49">
        <f>Assumptions!F5</f>
        <v/>
      </c>
      <c r="G11" s="49">
        <f>Assumptions!G5</f>
        <v/>
      </c>
      <c r="H11" s="49">
        <f>Assumptions!H5</f>
        <v/>
      </c>
      <c r="I11" s="49">
        <f>Assumptions!I5</f>
        <v/>
      </c>
      <c r="J11" s="49">
        <f>Assumptions!J5</f>
        <v/>
      </c>
    </row>
    <row r="12" ht="6" customHeight="1">
      <c r="B12" s="22" t="inlineStr">
        <is>
          <t>P&amp;L SUMMARY</t>
        </is>
      </c>
    </row>
    <row r="13" ht="13" customHeight="1">
      <c r="B13" s="50" t="inlineStr">
        <is>
          <t>Gross Profit (€M)</t>
        </is>
      </c>
      <c r="C13" s="34" t="n">
        <v>2956</v>
      </c>
      <c r="D13" s="34" t="n">
        <v>3345</v>
      </c>
      <c r="E13" s="34" t="n">
        <v>3609</v>
      </c>
      <c r="F13" s="43">
        <f>F9*0.52</f>
        <v/>
      </c>
      <c r="G13" s="43">
        <f>G9*0.52</f>
        <v/>
      </c>
      <c r="H13" s="43">
        <f>H9*0.52</f>
        <v/>
      </c>
      <c r="I13" s="43">
        <f>I9*0.52</f>
        <v/>
      </c>
      <c r="J13" s="43">
        <f>J9*0.52</f>
        <v/>
      </c>
    </row>
    <row r="14" ht="13" customHeight="1">
      <c r="B14" s="40" t="inlineStr">
        <is>
          <t xml:space="preserve">  Gross Margin %</t>
        </is>
      </c>
      <c r="C14" s="51">
        <f>C13/C9</f>
        <v/>
      </c>
      <c r="D14" s="51">
        <f>D13/D9</f>
        <v/>
      </c>
      <c r="E14" s="51">
        <f>E13/E9</f>
        <v/>
      </c>
      <c r="F14" s="51">
        <f>F13/F9</f>
        <v/>
      </c>
      <c r="G14" s="51">
        <f>G13/G9</f>
        <v/>
      </c>
      <c r="H14" s="51">
        <f>H13/H9</f>
        <v/>
      </c>
      <c r="I14" s="51">
        <f>I13/I9</f>
        <v/>
      </c>
      <c r="J14" s="51">
        <f>J13/J9</f>
        <v/>
      </c>
    </row>
    <row r="15" ht="14" customHeight="1">
      <c r="B15" s="42" t="inlineStr">
        <is>
          <t>EBITDA</t>
        </is>
      </c>
      <c r="C15" s="34" t="n">
        <v>2279</v>
      </c>
      <c r="D15" s="34" t="n">
        <v>2555</v>
      </c>
      <c r="E15" s="34" t="n">
        <v>2772</v>
      </c>
      <c r="F15" s="52">
        <f>F9*Assumptions!F15</f>
        <v/>
      </c>
      <c r="G15" s="52">
        <f>G9*Assumptions!G15</f>
        <v/>
      </c>
      <c r="H15" s="52">
        <f>H9*Assumptions!H15</f>
        <v/>
      </c>
      <c r="I15" s="52">
        <f>I9*Assumptions!I15</f>
        <v/>
      </c>
      <c r="J15" s="52">
        <f>J9*Assumptions!J15</f>
        <v/>
      </c>
    </row>
    <row r="16" ht="13" customHeight="1">
      <c r="B16" s="40" t="inlineStr">
        <is>
          <t xml:space="preserve">  EBITDA Margin %</t>
        </is>
      </c>
      <c r="C16" s="51">
        <f>C15/C9</f>
        <v/>
      </c>
      <c r="D16" s="51">
        <f>D15/D9</f>
        <v/>
      </c>
      <c r="E16" s="51">
        <f>E15/E9</f>
        <v/>
      </c>
      <c r="F16" s="51">
        <f>F15/F9</f>
        <v/>
      </c>
      <c r="G16" s="51">
        <f>G15/G9</f>
        <v/>
      </c>
      <c r="H16" s="51">
        <f>H15/H9</f>
        <v/>
      </c>
      <c r="I16" s="51">
        <f>I15/I9</f>
        <v/>
      </c>
      <c r="J16" s="51">
        <f>J15/J9</f>
        <v/>
      </c>
    </row>
    <row r="17" ht="13" customHeight="1">
      <c r="B17" s="50" t="inlineStr">
        <is>
          <t>Less: D&amp;A</t>
        </is>
      </c>
      <c r="C17" s="49">
        <f>Assumptions!C16</f>
        <v/>
      </c>
      <c r="D17" s="49">
        <f>Assumptions!D16</f>
        <v/>
      </c>
      <c r="E17" s="49">
        <f>Assumptions!E16</f>
        <v/>
      </c>
      <c r="F17" s="49">
        <f>Assumptions!F16</f>
        <v/>
      </c>
      <c r="G17" s="49">
        <f>Assumptions!G16</f>
        <v/>
      </c>
      <c r="H17" s="49">
        <f>Assumptions!H16</f>
        <v/>
      </c>
      <c r="I17" s="49">
        <f>Assumptions!I16</f>
        <v/>
      </c>
      <c r="J17" s="49">
        <f>Assumptions!J16</f>
        <v/>
      </c>
    </row>
    <row r="18" ht="14" customHeight="1">
      <c r="B18" s="46" t="inlineStr">
        <is>
          <t>EBIT (Operating Profit)</t>
        </is>
      </c>
      <c r="C18" s="34" t="n">
        <v>1618</v>
      </c>
      <c r="D18" s="34" t="n">
        <v>1888</v>
      </c>
      <c r="E18" s="34" t="n">
        <v>2342</v>
      </c>
      <c r="F18" s="47">
        <f>F15-F17</f>
        <v/>
      </c>
      <c r="G18" s="47">
        <f>G15-G17</f>
        <v/>
      </c>
      <c r="H18" s="47">
        <f>H15-H17</f>
        <v/>
      </c>
      <c r="I18" s="47">
        <f>I15-I17</f>
        <v/>
      </c>
      <c r="J18" s="47">
        <f>J15-J17</f>
        <v/>
      </c>
    </row>
    <row r="19" ht="13" customHeight="1">
      <c r="B19" s="36" t="inlineStr">
        <is>
          <t xml:space="preserve">  EBIT Margin %</t>
        </is>
      </c>
      <c r="C19" s="38">
        <f>C18/C9</f>
        <v/>
      </c>
      <c r="D19" s="38">
        <f>D18/D9</f>
        <v/>
      </c>
      <c r="E19" s="38">
        <f>E18/E9</f>
        <v/>
      </c>
      <c r="F19" s="38">
        <f>F18/F9</f>
        <v/>
      </c>
      <c r="G19" s="38">
        <f>G18/G9</f>
        <v/>
      </c>
      <c r="H19" s="38">
        <f>H18/H9</f>
        <v/>
      </c>
      <c r="I19" s="38">
        <f>I18/I9</f>
        <v/>
      </c>
      <c r="J19" s="38">
        <f>J18/J9</f>
        <v/>
      </c>
    </row>
    <row r="20" ht="13" customHeight="1">
      <c r="B20" s="33" t="inlineStr">
        <is>
          <t>Net Income (€M)</t>
        </is>
      </c>
      <c r="C20" s="34" t="n">
        <v>1257</v>
      </c>
      <c r="D20" s="34" t="n">
        <v>1526</v>
      </c>
      <c r="E20" s="34" t="n">
        <v>1612</v>
      </c>
      <c r="F20" s="35">
        <f>F18*(1-Assumptions!F19)</f>
        <v/>
      </c>
      <c r="G20" s="35">
        <f>G18*(1-Assumptions!G19)</f>
        <v/>
      </c>
      <c r="H20" s="35">
        <f>H18*(1-Assumptions!H19)</f>
        <v/>
      </c>
      <c r="I20" s="35">
        <f>I18*(1-Assumptions!I19)</f>
        <v/>
      </c>
      <c r="J20" s="35">
        <f>J18*(1-Assumptions!J19)</f>
        <v/>
      </c>
    </row>
    <row r="21" ht="13" customHeight="1">
      <c r="B21" s="50" t="inlineStr">
        <is>
          <t>Diluted EPS (EUR)</t>
        </is>
      </c>
      <c r="C21" s="53" t="n">
        <v>6.9</v>
      </c>
      <c r="D21" s="53" t="n">
        <v>8.460000000000001</v>
      </c>
      <c r="E21" s="53" t="n">
        <v>8.960000000000001</v>
      </c>
      <c r="F21" s="54">
        <f>F20/180</f>
        <v/>
      </c>
      <c r="G21" s="54">
        <f>G20/180</f>
        <v/>
      </c>
      <c r="H21" s="54">
        <f>H20/180</f>
        <v/>
      </c>
      <c r="I21" s="54">
        <f>I20/180</f>
        <v/>
      </c>
      <c r="J21" s="54">
        <f>J20/180</f>
        <v/>
      </c>
    </row>
    <row r="22" ht="6" customHeight="1">
      <c r="B22" s="22" t="inlineStr">
        <is>
          <t>UNLEVERED FREE CASH FLOW BUILD</t>
        </is>
      </c>
    </row>
    <row r="23" ht="14" customHeight="1">
      <c r="B23" s="50" t="inlineStr">
        <is>
          <t>EBIT</t>
        </is>
      </c>
      <c r="C23" s="43">
        <f>C18</f>
        <v/>
      </c>
      <c r="D23" s="43">
        <f>D18</f>
        <v/>
      </c>
      <c r="E23" s="43">
        <f>E18</f>
        <v/>
      </c>
      <c r="F23" s="43">
        <f>F18</f>
        <v/>
      </c>
      <c r="G23" s="43">
        <f>G18</f>
        <v/>
      </c>
      <c r="H23" s="43">
        <f>H18</f>
        <v/>
      </c>
      <c r="I23" s="43">
        <f>I18</f>
        <v/>
      </c>
      <c r="J23" s="43">
        <f>J18</f>
        <v/>
      </c>
    </row>
    <row r="24" ht="13" customHeight="1">
      <c r="B24" s="44" t="inlineStr">
        <is>
          <t xml:space="preserve">  Less: Taxes</t>
        </is>
      </c>
      <c r="C24" s="35">
        <f>-C23*Assumptions!C19</f>
        <v/>
      </c>
      <c r="D24" s="35">
        <f>-D23*Assumptions!D19</f>
        <v/>
      </c>
      <c r="E24" s="35">
        <f>-E23*Assumptions!E19</f>
        <v/>
      </c>
      <c r="F24" s="35">
        <f>-F23*Assumptions!F19</f>
        <v/>
      </c>
      <c r="G24" s="35">
        <f>-G23*Assumptions!G19</f>
        <v/>
      </c>
      <c r="H24" s="35">
        <f>-H23*Assumptions!H19</f>
        <v/>
      </c>
      <c r="I24" s="35">
        <f>-I23*Assumptions!I19</f>
        <v/>
      </c>
      <c r="J24" s="35">
        <f>-J23*Assumptions!J19</f>
        <v/>
      </c>
    </row>
    <row r="25" ht="14" customHeight="1">
      <c r="B25" s="42" t="inlineStr">
        <is>
          <t>NOPAT</t>
        </is>
      </c>
      <c r="C25" s="52">
        <f>C23+C24</f>
        <v/>
      </c>
      <c r="D25" s="52">
        <f>D23+D24</f>
        <v/>
      </c>
      <c r="E25" s="52">
        <f>E23+E24</f>
        <v/>
      </c>
      <c r="F25" s="52">
        <f>F23+F24</f>
        <v/>
      </c>
      <c r="G25" s="52">
        <f>G23+G24</f>
        <v/>
      </c>
      <c r="H25" s="52">
        <f>H23+H24</f>
        <v/>
      </c>
      <c r="I25" s="52">
        <f>I23+I24</f>
        <v/>
      </c>
      <c r="J25" s="52">
        <f>J23+J24</f>
        <v/>
      </c>
    </row>
    <row r="26" ht="13" customHeight="1">
      <c r="B26" s="44" t="inlineStr">
        <is>
          <t xml:space="preserve">  Plus: D&amp;A</t>
        </is>
      </c>
      <c r="C26" s="35">
        <f>C17</f>
        <v/>
      </c>
      <c r="D26" s="35">
        <f>D17</f>
        <v/>
      </c>
      <c r="E26" s="35">
        <f>E17</f>
        <v/>
      </c>
      <c r="F26" s="35">
        <f>F17</f>
        <v/>
      </c>
      <c r="G26" s="35">
        <f>G17</f>
        <v/>
      </c>
      <c r="H26" s="35">
        <f>H17</f>
        <v/>
      </c>
      <c r="I26" s="35">
        <f>I17</f>
        <v/>
      </c>
      <c r="J26" s="35">
        <f>J17</f>
        <v/>
      </c>
    </row>
    <row r="27" ht="13" customHeight="1">
      <c r="B27" s="45" t="inlineStr">
        <is>
          <t xml:space="preserve">  Less: Capital Expenditures</t>
        </is>
      </c>
      <c r="C27" s="43">
        <f>-Assumptions!C17</f>
        <v/>
      </c>
      <c r="D27" s="43">
        <f>-Assumptions!D17</f>
        <v/>
      </c>
      <c r="E27" s="43">
        <f>-Assumptions!E17</f>
        <v/>
      </c>
      <c r="F27" s="43">
        <f>-Assumptions!F17</f>
        <v/>
      </c>
      <c r="G27" s="43">
        <f>-Assumptions!G17</f>
        <v/>
      </c>
      <c r="H27" s="43">
        <f>-Assumptions!H17</f>
        <v/>
      </c>
      <c r="I27" s="43">
        <f>-Assumptions!I17</f>
        <v/>
      </c>
      <c r="J27" s="43">
        <f>-Assumptions!J17</f>
        <v/>
      </c>
    </row>
    <row r="28" ht="13" customHeight="1">
      <c r="B28" s="44" t="inlineStr">
        <is>
          <t xml:space="preserve">  Less: Δ Working Capital</t>
        </is>
      </c>
      <c r="C28" s="35">
        <f>-Assumptions!C18</f>
        <v/>
      </c>
      <c r="D28" s="35">
        <f>-Assumptions!D18</f>
        <v/>
      </c>
      <c r="E28" s="35">
        <f>-Assumptions!E18</f>
        <v/>
      </c>
      <c r="F28" s="35">
        <f>-Assumptions!F18</f>
        <v/>
      </c>
      <c r="G28" s="35">
        <f>-Assumptions!G18</f>
        <v/>
      </c>
      <c r="H28" s="35">
        <f>-Assumptions!H18</f>
        <v/>
      </c>
      <c r="I28" s="35">
        <f>-Assumptions!I18</f>
        <v/>
      </c>
      <c r="J28" s="35">
        <f>-Assumptions!J18</f>
        <v/>
      </c>
    </row>
    <row r="29" ht="16" customHeight="1">
      <c r="B29" s="42" t="inlineStr">
        <is>
          <t>Unlevered Free Cash Flow (€M)</t>
        </is>
      </c>
      <c r="C29" s="55">
        <f>C25+C26+C27+C28</f>
        <v/>
      </c>
      <c r="D29" s="55">
        <f>D25+D26+D27+D28</f>
        <v/>
      </c>
      <c r="E29" s="55">
        <f>E25+E26+E27+E28</f>
        <v/>
      </c>
      <c r="F29" s="55">
        <f>F25+F26+F27+F28</f>
        <v/>
      </c>
      <c r="G29" s="55">
        <f>G25+G26+G27+G28</f>
        <v/>
      </c>
      <c r="H29" s="55">
        <f>H25+H26+H27+H28</f>
        <v/>
      </c>
      <c r="I29" s="55">
        <f>I25+I26+I27+I28</f>
        <v/>
      </c>
      <c r="J29" s="55">
        <f>J25+J26+J27+J28</f>
        <v/>
      </c>
    </row>
    <row r="30" ht="4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</row>
  </sheetData>
  <mergeCells count="4">
    <mergeCell ref="B4:J4"/>
    <mergeCell ref="B22:J22"/>
    <mergeCell ref="B12:J12"/>
    <mergeCell ref="B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0" workbookViewId="0">
      <selection activeCell="A1" sqref="A1"/>
    </sheetView>
  </sheetViews>
  <sheetFormatPr baseColWidth="8" defaultRowHeight="15"/>
  <cols>
    <col width="1.5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.5" customWidth="1" min="9" max="9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9" t="inlineStr">
        <is>
          <t>Ferrari N.V. — DCF &amp; Valuation  (€M unless noted)</t>
        </is>
      </c>
    </row>
    <row r="3" ht="16" customHeight="1">
      <c r="B3" s="30" t="inlineStr"/>
      <c r="C3" s="31" t="inlineStr">
        <is>
          <t>Input / Value</t>
        </is>
      </c>
      <c r="D3" s="32" t="inlineStr">
        <is>
          <t>FY2026E</t>
        </is>
      </c>
      <c r="E3" s="32" t="inlineStr">
        <is>
          <t>FY2027E</t>
        </is>
      </c>
      <c r="F3" s="32" t="inlineStr">
        <is>
          <t>FY2028E</t>
        </is>
      </c>
      <c r="G3" s="32" t="inlineStr">
        <is>
          <t>FY2029E</t>
        </is>
      </c>
      <c r="H3" s="32" t="inlineStr">
        <is>
          <t>FY2030E</t>
        </is>
      </c>
    </row>
    <row r="4" ht="6" customHeight="1">
      <c r="B4" s="22" t="inlineStr">
        <is>
          <t>WACC BUILD  — Luxury Goods Beta Rationale  (β=0.75 vs. auto β~1.2)</t>
        </is>
      </c>
    </row>
    <row r="5" ht="13" customHeight="1">
      <c r="B5" s="50" t="inlineStr">
        <is>
          <t>Risk-Free Rate (10-yr US Treasury)</t>
        </is>
      </c>
      <c r="C5" s="56" t="n">
        <v>0.043</v>
      </c>
      <c r="D5" s="24" t="n"/>
      <c r="E5" s="24" t="n"/>
      <c r="F5" s="24" t="n"/>
      <c r="G5" s="24" t="n"/>
      <c r="H5" s="24" t="n"/>
    </row>
    <row r="6" ht="13" customHeight="1">
      <c r="B6" s="33" t="inlineStr">
        <is>
          <t>Equity Risk Premium</t>
        </is>
      </c>
      <c r="C6" s="56" t="n">
        <v>0.043</v>
      </c>
    </row>
    <row r="7" ht="13" customHeight="1">
      <c r="B7" s="50" t="inlineStr">
        <is>
          <t>Levered Beta  (Hermès 0.60 / LVMH 0.80 / Ferrari 0.75)</t>
        </is>
      </c>
      <c r="C7" s="48" t="n">
        <v>0.75</v>
      </c>
      <c r="D7" s="24" t="n"/>
      <c r="E7" s="24" t="n"/>
      <c r="F7" s="24" t="n"/>
      <c r="G7" s="24" t="n"/>
      <c r="H7" s="24" t="n"/>
    </row>
    <row r="8" ht="13" customHeight="1">
      <c r="B8" s="46" t="inlineStr">
        <is>
          <t>Cost of Equity  [Rf + β × ERP]</t>
        </is>
      </c>
      <c r="C8" s="57">
        <f>C5+C7*C6</f>
        <v/>
      </c>
    </row>
    <row r="9" ht="13" customHeight="1">
      <c r="B9" s="50" t="inlineStr">
        <is>
          <t>Pre-Tax Cost of Debt</t>
        </is>
      </c>
      <c r="C9" s="56" t="n">
        <v>0.04</v>
      </c>
      <c r="D9" s="24" t="n"/>
      <c r="E9" s="24" t="n"/>
      <c r="F9" s="24" t="n"/>
      <c r="G9" s="24" t="n"/>
      <c r="H9" s="24" t="n"/>
    </row>
    <row r="10" ht="13" customHeight="1">
      <c r="B10" s="33" t="inlineStr">
        <is>
          <t>Effective Tax Rate</t>
        </is>
      </c>
      <c r="C10" s="56" t="n">
        <v>0.25</v>
      </c>
    </row>
    <row r="11" ht="13" customHeight="1">
      <c r="B11" s="50" t="inlineStr">
        <is>
          <t>After-Tax Cost of Debt</t>
        </is>
      </c>
      <c r="C11" s="58">
        <f>C9*(1-C10)</f>
        <v/>
      </c>
      <c r="D11" s="24" t="n"/>
      <c r="E11" s="24" t="n"/>
      <c r="F11" s="24" t="n"/>
      <c r="G11" s="24" t="n"/>
      <c r="H11" s="24" t="n"/>
    </row>
    <row r="12" ht="13" customHeight="1">
      <c r="B12" s="33" t="inlineStr">
        <is>
          <t>Debt / Total Capital</t>
        </is>
      </c>
      <c r="C12" s="56" t="n">
        <v>0.025</v>
      </c>
    </row>
    <row r="13" ht="13" customHeight="1">
      <c r="B13" s="50" t="inlineStr">
        <is>
          <t>Equity / Total Capital</t>
        </is>
      </c>
      <c r="C13" s="58">
        <f>1-C12</f>
        <v/>
      </c>
      <c r="D13" s="24" t="n"/>
      <c r="E13" s="24" t="n"/>
      <c r="F13" s="24" t="n"/>
      <c r="G13" s="24" t="n"/>
      <c r="H13" s="24" t="n"/>
    </row>
    <row r="14" ht="13" customHeight="1">
      <c r="B14" s="46" t="inlineStr">
        <is>
          <t>WACC</t>
        </is>
      </c>
      <c r="C14" s="59">
        <f>C8*C13+C11*C12</f>
        <v/>
      </c>
    </row>
    <row r="15" ht="26" customHeight="1">
      <c r="B15" s="60" t="inlineStr">
        <is>
          <t>Beta rationale: Ferrari revenue and EBITDA margins held steady throughout the 2008 GFC, 2020 COVID, and 2022-23 inflation cycle. This is characteristic of luxury goods (Hermès β≈0.60, LVMH β≈0.80), not autos (BMW β≈1.1, Ford β≈1.3). Using β=0.75 implies WACC ≈7.5%, consistent with how buy-side analysts value Hermès and LVMH.</t>
        </is>
      </c>
    </row>
    <row r="16" ht="6" customHeight="1">
      <c r="B16" s="22" t="inlineStr">
        <is>
          <t>DCF — PROJECTED FREE CASH FLOW  (€M, FY2026E–FY2030E)</t>
        </is>
      </c>
    </row>
    <row r="17" ht="16" customHeight="1">
      <c r="B17" s="30" t="inlineStr">
        <is>
          <t>Metric</t>
        </is>
      </c>
      <c r="C17" s="31" t="inlineStr">
        <is>
          <t>Notes</t>
        </is>
      </c>
      <c r="D17" s="31" t="inlineStr">
        <is>
          <t>FY2026E</t>
        </is>
      </c>
      <c r="E17" s="31" t="inlineStr">
        <is>
          <t>FY2027E</t>
        </is>
      </c>
      <c r="F17" s="31" t="inlineStr">
        <is>
          <t>FY2028E</t>
        </is>
      </c>
      <c r="G17" s="31" t="inlineStr">
        <is>
          <t>FY2029E</t>
        </is>
      </c>
      <c r="H17" s="31" t="inlineStr">
        <is>
          <t>FY2030E</t>
        </is>
      </c>
    </row>
    <row r="18" ht="14" customHeight="1">
      <c r="B18" s="42" t="inlineStr">
        <is>
          <t>Unlevered Free Cash Flow (€M)</t>
        </is>
      </c>
      <c r="C18" s="50" t="inlineStr">
        <is>
          <t>← Income Statement</t>
        </is>
      </c>
      <c r="D18" s="49">
        <f>'Income Statement'!F29</f>
        <v/>
      </c>
      <c r="E18" s="49">
        <f>'Income Statement'!G29</f>
        <v/>
      </c>
      <c r="F18" s="49">
        <f>'Income Statement'!H29</f>
        <v/>
      </c>
      <c r="G18" s="49">
        <f>'Income Statement'!I29</f>
        <v/>
      </c>
      <c r="H18" s="49">
        <f>'Income Statement'!J29</f>
        <v/>
      </c>
    </row>
    <row r="19" ht="13" customHeight="1">
      <c r="B19" s="33" t="inlineStr">
        <is>
          <t>Discount Period (mid-year convention)</t>
        </is>
      </c>
      <c r="D19" s="61" t="n">
        <v>0.5</v>
      </c>
      <c r="E19" s="61" t="n">
        <v>1.5</v>
      </c>
      <c r="F19" s="61" t="n">
        <v>2.5</v>
      </c>
      <c r="G19" s="61" t="n">
        <v>3.5</v>
      </c>
      <c r="H19" s="61" t="n">
        <v>4.5</v>
      </c>
    </row>
    <row r="20" ht="14" customHeight="1">
      <c r="B20" s="50" t="inlineStr">
        <is>
          <t>Discount Factor  [1/(1+WACC)^t]</t>
        </is>
      </c>
      <c r="C20" s="24" t="n"/>
      <c r="D20" s="62">
        <f>1/(1+C14)^D19</f>
        <v/>
      </c>
      <c r="E20" s="62">
        <f>1/(1+C14)^E19</f>
        <v/>
      </c>
      <c r="F20" s="62">
        <f>1/(1+C14)^F19</f>
        <v/>
      </c>
      <c r="G20" s="62">
        <f>1/(1+C14)^G19</f>
        <v/>
      </c>
      <c r="H20" s="62">
        <f>1/(1+C14)^H19</f>
        <v/>
      </c>
    </row>
    <row r="21" ht="14" customHeight="1">
      <c r="B21" s="46" t="inlineStr">
        <is>
          <t>PV of Free Cash Flow (€M)</t>
        </is>
      </c>
      <c r="D21" s="47">
        <f>D18*D20</f>
        <v/>
      </c>
      <c r="E21" s="47">
        <f>E18*E20</f>
        <v/>
      </c>
      <c r="F21" s="47">
        <f>F18*F20</f>
        <v/>
      </c>
      <c r="G21" s="47">
        <f>G18*G20</f>
        <v/>
      </c>
      <c r="H21" s="47">
        <f>H18*H20</f>
        <v/>
      </c>
    </row>
    <row r="22" ht="6" customHeight="1">
      <c r="B22" s="22" t="inlineStr">
        <is>
          <t>ENTERPRISE VALUE → EQUITY BRIDGE</t>
        </is>
      </c>
    </row>
    <row r="23" ht="14" customHeight="1">
      <c r="B23" s="42" t="inlineStr">
        <is>
          <t>Sum of PV (FCFs, FY2026–FY2030)</t>
        </is>
      </c>
      <c r="C23" s="55">
        <f>SUM(D21:H21)</f>
        <v/>
      </c>
      <c r="D23" s="24" t="n"/>
      <c r="E23" s="24" t="n"/>
      <c r="F23" s="24" t="n"/>
      <c r="G23" s="24" t="n"/>
      <c r="H23" s="24" t="n"/>
    </row>
    <row r="24" ht="14" customHeight="1">
      <c r="B24" s="33" t="inlineStr">
        <is>
          <t>Terminal Growth Rate (g)</t>
        </is>
      </c>
      <c r="C24" s="56" t="n">
        <v>0.03</v>
      </c>
    </row>
    <row r="25" ht="14" customHeight="1">
      <c r="B25" s="50" t="inlineStr">
        <is>
          <t>Terminal Year FCF  (FY2030 × (1+g))</t>
        </is>
      </c>
      <c r="C25" s="43">
        <f>H18*(1+C24)</f>
        <v/>
      </c>
      <c r="D25" s="24" t="n"/>
      <c r="E25" s="24" t="n"/>
      <c r="F25" s="24" t="n"/>
      <c r="G25" s="24" t="n"/>
      <c r="H25" s="24" t="n"/>
    </row>
    <row r="26" ht="14" customHeight="1">
      <c r="B26" s="33" t="inlineStr">
        <is>
          <t>Terminal Value  [FCF_T+1 / (WACC–g)]</t>
        </is>
      </c>
      <c r="C26" s="35">
        <f>C25/(C14-C24)</f>
        <v/>
      </c>
    </row>
    <row r="27" ht="14" customHeight="1">
      <c r="B27" s="50" t="inlineStr">
        <is>
          <t>PV of Terminal Value</t>
        </is>
      </c>
      <c r="C27" s="43">
        <f>C26*H20</f>
        <v/>
      </c>
      <c r="D27" s="24" t="n"/>
      <c r="E27" s="24" t="n"/>
      <c r="F27" s="24" t="n"/>
      <c r="G27" s="24" t="n"/>
      <c r="H27" s="24" t="n"/>
    </row>
    <row r="28" ht="14" customHeight="1">
      <c r="B28" s="63" t="inlineStr">
        <is>
          <t>Enterprise Value  (€M)</t>
        </is>
      </c>
      <c r="C28" s="64">
        <f>C23+C27</f>
        <v/>
      </c>
      <c r="D28" s="65" t="n"/>
      <c r="E28" s="65" t="n"/>
      <c r="F28" s="65" t="n"/>
      <c r="G28" s="65" t="n"/>
      <c r="H28" s="65" t="n"/>
    </row>
    <row r="29" ht="14" customHeight="1">
      <c r="B29" s="50" t="inlineStr">
        <is>
          <t>Less: Net Industrial Debt  (€M)</t>
        </is>
      </c>
      <c r="C29" s="34" t="n">
        <v>180</v>
      </c>
      <c r="D29" s="24" t="n"/>
      <c r="E29" s="24" t="n"/>
      <c r="F29" s="24" t="n"/>
      <c r="G29" s="24" t="n"/>
      <c r="H29" s="24" t="n"/>
    </row>
    <row r="30" ht="14" customHeight="1">
      <c r="B30" s="46" t="inlineStr">
        <is>
          <t>Equity Value  (€M)</t>
        </is>
      </c>
      <c r="C30" s="66">
        <f>C28-C29</f>
        <v/>
      </c>
    </row>
    <row r="31" ht="14" customHeight="1">
      <c r="B31" s="50" t="inlineStr">
        <is>
          <t>Shares Outstanding  (M)</t>
        </is>
      </c>
      <c r="C31" s="34" t="n">
        <v>180</v>
      </c>
      <c r="D31" s="24" t="n"/>
      <c r="E31" s="24" t="n"/>
      <c r="F31" s="24" t="n"/>
      <c r="G31" s="24" t="n"/>
      <c r="H31" s="24" t="n"/>
    </row>
    <row r="32" ht="14" customHeight="1">
      <c r="B32" s="46" t="inlineStr">
        <is>
          <t>Implied Price Per Share  (EUR)</t>
        </is>
      </c>
      <c r="C32" s="67">
        <f>C30/C31</f>
        <v/>
      </c>
    </row>
    <row r="33" ht="14" customHeight="1">
      <c r="B33" s="50" t="inlineStr">
        <is>
          <t>EUR/USD Exchange Rate</t>
        </is>
      </c>
      <c r="C33" s="48" t="n">
        <v>1.18</v>
      </c>
      <c r="D33" s="24" t="n"/>
      <c r="E33" s="24" t="n"/>
      <c r="F33" s="24" t="n"/>
      <c r="G33" s="24" t="n"/>
      <c r="H33" s="24" t="n"/>
    </row>
    <row r="34" ht="14" customHeight="1">
      <c r="B34" s="63" t="inlineStr">
        <is>
          <t>Implied Price Per Share  (USD)</t>
        </is>
      </c>
      <c r="C34" s="68">
        <f>C32*C33</f>
        <v/>
      </c>
      <c r="D34" s="65" t="n"/>
      <c r="E34" s="65" t="n"/>
      <c r="F34" s="65" t="n"/>
      <c r="G34" s="65" t="n"/>
      <c r="H34" s="65" t="n"/>
    </row>
    <row r="35" ht="14" customHeight="1">
      <c r="B35" s="50" t="inlineStr">
        <is>
          <t>Current Price  (USD)</t>
        </is>
      </c>
      <c r="C35" s="69" t="n">
        <v>375.5</v>
      </c>
      <c r="D35" s="24" t="n"/>
      <c r="E35" s="24" t="n"/>
      <c r="F35" s="24" t="n"/>
      <c r="G35" s="24" t="n"/>
      <c r="H35" s="24" t="n"/>
    </row>
    <row r="36" ht="14" customHeight="1">
      <c r="B36" s="63" t="inlineStr">
        <is>
          <t>Implied Upside / (Downside)</t>
        </is>
      </c>
      <c r="C36" s="70">
        <f>C34/C35-1</f>
        <v/>
      </c>
      <c r="D36" s="65" t="n"/>
      <c r="E36" s="65" t="n"/>
      <c r="F36" s="65" t="n"/>
      <c r="G36" s="65" t="n"/>
      <c r="H36" s="65" t="n"/>
    </row>
    <row r="39" ht="6" customHeight="1">
      <c r="B39" s="22" t="inlineStr">
        <is>
          <t>TRADING COMPS  — Ferrari at 22x EV/EBITDA Is Closer to BMW Than Hermès</t>
        </is>
      </c>
    </row>
    <row r="40" ht="14" customHeight="1">
      <c r="B40" s="10" t="inlineStr">
        <is>
          <t>Company</t>
        </is>
      </c>
      <c r="C40" s="71" t="inlineStr">
        <is>
          <t>Sector</t>
        </is>
      </c>
      <c r="D40" s="71" t="inlineStr">
        <is>
          <t>EV/EBITDA</t>
        </is>
      </c>
      <c r="E40" s="71" t="inlineStr">
        <is>
          <t>P/E (NTM)</t>
        </is>
      </c>
      <c r="F40" s="71" t="inlineStr">
        <is>
          <t>Note</t>
        </is>
      </c>
    </row>
    <row r="41" ht="13" customHeight="1">
      <c r="B41" s="11" t="inlineStr">
        <is>
          <t>Hermès International</t>
        </is>
      </c>
      <c r="C41" s="72" t="inlineStr">
        <is>
          <t>Luxury Goods</t>
        </is>
      </c>
      <c r="D41" s="72" t="inlineStr">
        <is>
          <t>38.0x</t>
        </is>
      </c>
      <c r="E41" s="72" t="inlineStr">
        <is>
          <t>55x</t>
        </is>
      </c>
      <c r="F41" s="73" t="inlineStr">
        <is>
          <t>Scarcity model — the Birkin bag thesis</t>
        </is>
      </c>
    </row>
    <row r="42" ht="13" customHeight="1">
      <c r="B42" s="14" t="inlineStr">
        <is>
          <t>LVMH</t>
        </is>
      </c>
      <c r="C42" s="74" t="inlineStr">
        <is>
          <t>Diversified Luxury</t>
        </is>
      </c>
      <c r="D42" s="74" t="inlineStr">
        <is>
          <t>14.5x</t>
        </is>
      </c>
      <c r="E42" s="74" t="inlineStr">
        <is>
          <t>21x</t>
        </is>
      </c>
      <c r="F42" s="75" t="inlineStr">
        <is>
          <t>Diversified; lower scarcity premium</t>
        </is>
      </c>
    </row>
    <row r="43" ht="13" customHeight="1">
      <c r="B43" s="11" t="inlineStr">
        <is>
          <t>Moncler</t>
        </is>
      </c>
      <c r="C43" s="72" t="inlineStr">
        <is>
          <t>Luxury Apparel</t>
        </is>
      </c>
      <c r="D43" s="72" t="inlineStr">
        <is>
          <t>18.0x</t>
        </is>
      </c>
      <c r="E43" s="72" t="inlineStr">
        <is>
          <t>27x</t>
        </is>
      </c>
      <c r="F43" s="73" t="inlineStr">
        <is>
          <t>Premium brand, limited distribution</t>
        </is>
      </c>
    </row>
    <row r="44" ht="13" customHeight="1">
      <c r="B44" s="14" t="inlineStr">
        <is>
          <t>Porsche AG</t>
        </is>
      </c>
      <c r="C44" s="74" t="inlineStr">
        <is>
          <t>Luxury Auto</t>
        </is>
      </c>
      <c r="D44" s="74" t="inlineStr">
        <is>
          <t>13.5x</t>
        </is>
      </c>
      <c r="E44" s="74" t="inlineStr">
        <is>
          <t>22x</t>
        </is>
      </c>
      <c r="F44" s="75" t="inlineStr">
        <is>
          <t>Best pure luxury auto comp</t>
        </is>
      </c>
    </row>
    <row r="45" ht="13" customHeight="1">
      <c r="B45" s="11" t="inlineStr">
        <is>
          <t>Mercedes-Benz</t>
        </is>
      </c>
      <c r="C45" s="72" t="inlineStr">
        <is>
          <t>Premium Auto</t>
        </is>
      </c>
      <c r="D45" s="72" t="inlineStr">
        <is>
          <t>5.5x</t>
        </is>
      </c>
      <c r="E45" s="72" t="inlineStr">
        <is>
          <t>10x</t>
        </is>
      </c>
      <c r="F45" s="73" t="inlineStr">
        <is>
          <t>Volume OEM — exposed to EV cycle</t>
        </is>
      </c>
    </row>
    <row r="46" ht="13" customHeight="1">
      <c r="B46" s="14" t="inlineStr">
        <is>
          <t>BMW</t>
        </is>
      </c>
      <c r="C46" s="74" t="inlineStr">
        <is>
          <t>Premium Auto</t>
        </is>
      </c>
      <c r="D46" s="74" t="inlineStr">
        <is>
          <t>5.0x</t>
        </is>
      </c>
      <c r="E46" s="74" t="inlineStr">
        <is>
          <t>9x</t>
        </is>
      </c>
      <c r="F46" s="75" t="inlineStr">
        <is>
          <t>Floor — if market treats Ferrari as auto</t>
        </is>
      </c>
    </row>
    <row r="47" ht="13" customHeight="1">
      <c r="B47" s="76" t="inlineStr">
        <is>
          <t>Ferrari (current 22x)</t>
        </is>
      </c>
      <c r="C47" s="77" t="inlineStr">
        <is>
          <t>Luxury Auto ← ?</t>
        </is>
      </c>
      <c r="D47" s="77" t="inlineStr">
        <is>
          <t>22.0x</t>
        </is>
      </c>
      <c r="E47" s="77" t="inlineStr">
        <is>
          <t>34x</t>
        </is>
      </c>
      <c r="F47" s="77" t="inlineStr">
        <is>
          <t>28% off highs — compressed from ~30x</t>
        </is>
      </c>
      <c r="G47" s="78" t="n"/>
      <c r="H47" s="78" t="n"/>
    </row>
    <row r="48" ht="13" customHeight="1">
      <c r="B48" s="79" t="inlineStr">
        <is>
          <t>Ferrari (target 27x)</t>
        </is>
      </c>
      <c r="C48" s="80" t="inlineStr">
        <is>
          <t>Luxury Re-rating</t>
        </is>
      </c>
      <c r="D48" s="80" t="inlineStr">
        <is>
          <t>27.0x</t>
        </is>
      </c>
      <c r="E48" s="80" t="inlineStr">
        <is>
          <t>—</t>
        </is>
      </c>
      <c r="F48" s="80" t="inlineStr">
        <is>
          <t>FY2026E target → $498 comps-implied</t>
        </is>
      </c>
      <c r="G48" s="81" t="n"/>
      <c r="H48" s="81" t="n"/>
    </row>
    <row r="50" ht="6" customHeight="1">
      <c r="B50" s="22" t="inlineStr">
        <is>
          <t>COMPS-IMPLIED USD SHARE PRICE  (FY2026E EBITDA: €2,925M  ×  Multiple)</t>
        </is>
      </c>
    </row>
    <row r="51" ht="13" customHeight="1">
      <c r="B51" s="10" t="inlineStr">
        <is>
          <t>Scenario</t>
        </is>
      </c>
      <c r="C51" s="71" t="inlineStr">
        <is>
          <t>Multiple</t>
        </is>
      </c>
      <c r="D51" s="71" t="inlineStr">
        <is>
          <t>Implied EV  (€M)</t>
        </is>
      </c>
      <c r="E51" s="71" t="inlineStr">
        <is>
          <t>Implied Equity  (€M)</t>
        </is>
      </c>
      <c r="F51" s="71" t="inlineStr">
        <is>
          <t>USD / Share</t>
        </is>
      </c>
      <c r="G51" s="71" t="inlineStr">
        <is>
          <t>vs. Current $375</t>
        </is>
      </c>
    </row>
    <row r="52" ht="13" customHeight="1">
      <c r="B52" s="82" t="inlineStr">
        <is>
          <t>BMW multiple (worst case)</t>
        </is>
      </c>
      <c r="C52" s="83" t="inlineStr">
        <is>
          <t>5.0x</t>
        </is>
      </c>
      <c r="D52" s="84" t="n">
        <v>14625</v>
      </c>
      <c r="E52" s="84" t="n">
        <v>14445</v>
      </c>
      <c r="F52" s="85" t="n">
        <v>95</v>
      </c>
      <c r="G52" s="83" t="inlineStr">
        <is>
          <t>-74.8%</t>
        </is>
      </c>
      <c r="H52" s="24" t="n"/>
    </row>
    <row r="53" ht="13" customHeight="1">
      <c r="B53" s="86" t="inlineStr">
        <is>
          <t>Porsche multiple</t>
        </is>
      </c>
      <c r="C53" s="87" t="inlineStr">
        <is>
          <t>13.5x</t>
        </is>
      </c>
      <c r="D53" s="88" t="n">
        <v>39488</v>
      </c>
      <c r="E53" s="88" t="n">
        <v>39308</v>
      </c>
      <c r="F53" s="89" t="n">
        <v>258</v>
      </c>
      <c r="G53" s="87" t="inlineStr">
        <is>
          <t>-31.4%</t>
        </is>
      </c>
    </row>
    <row r="54" ht="13" customHeight="1">
      <c r="B54" s="82" t="inlineStr">
        <is>
          <t>LVMH multiple</t>
        </is>
      </c>
      <c r="C54" s="83" t="inlineStr">
        <is>
          <t>14.5x</t>
        </is>
      </c>
      <c r="D54" s="84" t="n">
        <v>42412</v>
      </c>
      <c r="E54" s="84" t="n">
        <v>42232</v>
      </c>
      <c r="F54" s="85" t="n">
        <v>277</v>
      </c>
      <c r="G54" s="83" t="inlineStr">
        <is>
          <t>-26.3%</t>
        </is>
      </c>
      <c r="H54" s="24" t="n"/>
    </row>
    <row r="55" ht="13" customHeight="1">
      <c r="B55" s="90" t="inlineStr">
        <is>
          <t>Ferrari current (22.0x)</t>
        </is>
      </c>
      <c r="C55" s="91" t="inlineStr">
        <is>
          <t>22.0x</t>
        </is>
      </c>
      <c r="D55" s="92" t="n">
        <v>64350</v>
      </c>
      <c r="E55" s="92" t="n">
        <v>64170</v>
      </c>
      <c r="F55" s="93" t="n">
        <v>421</v>
      </c>
      <c r="G55" s="91" t="inlineStr">
        <is>
          <t>+12.0%</t>
        </is>
      </c>
      <c r="H55" s="78" t="n"/>
    </row>
    <row r="56" ht="13" customHeight="1">
      <c r="B56" s="94" t="inlineStr">
        <is>
          <t>Ferrari target (27.0x)</t>
        </is>
      </c>
      <c r="C56" s="95" t="inlineStr">
        <is>
          <t>27.0x</t>
        </is>
      </c>
      <c r="D56" s="96" t="n">
        <v>78975</v>
      </c>
      <c r="E56" s="96" t="n">
        <v>78795</v>
      </c>
      <c r="F56" s="97" t="n">
        <v>517</v>
      </c>
      <c r="G56" s="95" t="inlineStr">
        <is>
          <t>+37.6%</t>
        </is>
      </c>
      <c r="H56" s="81" t="n"/>
    </row>
    <row r="57" ht="13" customHeight="1">
      <c r="B57" s="86" t="inlineStr">
        <is>
          <t>Hermès ceiling (38.0x)</t>
        </is>
      </c>
      <c r="C57" s="87" t="inlineStr">
        <is>
          <t>38.0x</t>
        </is>
      </c>
      <c r="D57" s="88" t="n">
        <v>111150</v>
      </c>
      <c r="E57" s="88" t="n">
        <v>110970</v>
      </c>
      <c r="F57" s="89" t="n">
        <v>727</v>
      </c>
      <c r="G57" s="87" t="inlineStr">
        <is>
          <t>+93.7%</t>
        </is>
      </c>
    </row>
    <row r="59" ht="6" customHeight="1">
      <c r="B59" s="10" t="inlineStr">
        <is>
          <t>BLENDED PRICE TARGET  (40% DCF + 60% Comps)</t>
        </is>
      </c>
    </row>
    <row r="60" ht="13" customHeight="1">
      <c r="B60" s="50" t="inlineStr">
        <is>
          <t>DCF Intrinsic Value</t>
        </is>
      </c>
      <c r="C60" s="98" t="inlineStr">
        <is>
          <t>$351/share</t>
        </is>
      </c>
      <c r="D60" s="99" t="inlineStr">
        <is>
          <t>40% weight — fundamental cash flow anchor</t>
        </is>
      </c>
    </row>
    <row r="61" ht="13" customHeight="1">
      <c r="B61" s="33" t="inlineStr">
        <is>
          <t>Trading Comps Value (27x FY2026E)</t>
        </is>
      </c>
      <c r="C61" s="100" t="inlineStr">
        <is>
          <t>$498/share</t>
        </is>
      </c>
      <c r="D61" s="101" t="inlineStr">
        <is>
          <t>60% weight — Ferrari re-rates to mid-luxury multiple</t>
        </is>
      </c>
    </row>
    <row r="62" ht="13" customHeight="1">
      <c r="B62" s="42" t="inlineStr">
        <is>
          <t>Blended Price Target</t>
        </is>
      </c>
      <c r="C62" s="102" t="inlineStr">
        <is>
          <t>$450/share</t>
        </is>
      </c>
      <c r="D62" s="99" t="inlineStr">
        <is>
          <t>Rounded; ~analyst consensus $495 is more bullish</t>
        </is>
      </c>
    </row>
    <row r="63" ht="13" customHeight="1">
      <c r="B63" s="33" t="inlineStr">
        <is>
          <t>Current Price</t>
        </is>
      </c>
      <c r="C63" s="100" t="inlineStr">
        <is>
          <t>$375.50</t>
        </is>
      </c>
      <c r="D63" s="101" t="inlineStr">
        <is>
          <t>28% below 52-wk high of $519.10</t>
        </is>
      </c>
    </row>
    <row r="64" ht="13" customHeight="1">
      <c r="B64" s="50" t="inlineStr">
        <is>
          <t>Implied Upside to PT</t>
        </is>
      </c>
      <c r="C64" s="103" t="inlineStr">
        <is>
          <t>+19.8%</t>
        </is>
      </c>
      <c r="D64" s="99" t="inlineStr">
        <is>
          <t>Plus potential bull case to $520+ if Luce delivers</t>
        </is>
      </c>
    </row>
    <row r="65" ht="13" customHeight="1">
      <c r="B65" s="46" t="inlineStr">
        <is>
          <t>Rating</t>
        </is>
      </c>
      <c r="C65" s="104" t="inlineStr">
        <is>
          <t>OVERWEIGHT</t>
        </is>
      </c>
      <c r="D65" s="101" t="inlineStr">
        <is>
          <t>Entry point + Luce catalyst + multiple re-rating</t>
        </is>
      </c>
    </row>
    <row r="67" ht="4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</sheetData>
  <mergeCells count="24">
    <mergeCell ref="D60:H60"/>
    <mergeCell ref="F42:H42"/>
    <mergeCell ref="F45:H45"/>
    <mergeCell ref="F41:H41"/>
    <mergeCell ref="D63:H63"/>
    <mergeCell ref="B15:H15"/>
    <mergeCell ref="F47:H47"/>
    <mergeCell ref="D65:H65"/>
    <mergeCell ref="F46:H46"/>
    <mergeCell ref="B50:H50"/>
    <mergeCell ref="B4:H4"/>
    <mergeCell ref="F43:H43"/>
    <mergeCell ref="B16:H16"/>
    <mergeCell ref="D61:H61"/>
    <mergeCell ref="F48:H48"/>
    <mergeCell ref="B59:H59"/>
    <mergeCell ref="B22:H22"/>
    <mergeCell ref="B39:H39"/>
    <mergeCell ref="B2:H2"/>
    <mergeCell ref="F44:H44"/>
    <mergeCell ref="D62:H62"/>
    <mergeCell ref="G51:H51"/>
    <mergeCell ref="D64:H64"/>
    <mergeCell ref="F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1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.5" customWidth="1" min="9" max="9"/>
  </cols>
  <sheetData>
    <row r="1" ht="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9" t="inlineStr">
        <is>
          <t>Ferrari N.V. — Sensitivity Analysis</t>
        </is>
      </c>
    </row>
    <row r="3" ht="8" customHeight="1">
      <c r="B3" s="22" t="inlineStr">
        <is>
          <t>TABLE 1  — Implied USD Share Price  by WACC × Terminal Growth Rate</t>
        </is>
      </c>
    </row>
    <row r="4" ht="14" customHeight="1">
      <c r="B4" s="105" t="inlineStr">
        <is>
          <t>WACC  →</t>
        </is>
      </c>
      <c r="C4" s="106" t="n">
        <v>0.06</v>
      </c>
      <c r="D4" s="106" t="n">
        <v>0.065</v>
      </c>
      <c r="E4" s="106" t="n">
        <v>0.07000000000000001</v>
      </c>
      <c r="F4" s="106" t="n">
        <v>0.075</v>
      </c>
      <c r="G4" s="106" t="n">
        <v>0.08</v>
      </c>
      <c r="H4" s="106" t="n">
        <v>0.08500000000000001</v>
      </c>
      <c r="I4" s="106" t="n">
        <v>0.09</v>
      </c>
    </row>
    <row r="5" ht="14" customHeight="1">
      <c r="B5" s="106" t="n">
        <v>0.02</v>
      </c>
      <c r="C5" s="107" t="n">
        <v>409</v>
      </c>
      <c r="D5" s="108" t="n">
        <v>362</v>
      </c>
      <c r="E5" s="108" t="n">
        <v>325</v>
      </c>
      <c r="F5" s="109" t="n">
        <v>294</v>
      </c>
      <c r="G5" s="109" t="n">
        <v>269</v>
      </c>
      <c r="H5" s="109" t="n">
        <v>248</v>
      </c>
      <c r="I5" s="109" t="n">
        <v>229</v>
      </c>
    </row>
    <row r="6" ht="14" customHeight="1">
      <c r="B6" s="106" t="n">
        <v>0.025</v>
      </c>
      <c r="C6" s="110" t="n">
        <v>461</v>
      </c>
      <c r="D6" s="107" t="n">
        <v>402</v>
      </c>
      <c r="E6" s="111" t="n">
        <v>356</v>
      </c>
      <c r="F6" s="111" t="n">
        <v>320</v>
      </c>
      <c r="G6" s="109" t="n">
        <v>290</v>
      </c>
      <c r="H6" s="109" t="n">
        <v>265</v>
      </c>
      <c r="I6" s="109" t="n">
        <v>244</v>
      </c>
    </row>
    <row r="7" ht="14" customHeight="1">
      <c r="B7" s="106" t="n">
        <v>0.03</v>
      </c>
      <c r="C7" s="110" t="n">
        <v>531</v>
      </c>
      <c r="D7" s="110" t="n">
        <v>454</v>
      </c>
      <c r="E7" s="107" t="n">
        <v>396</v>
      </c>
      <c r="F7" s="108" t="n">
        <v>351</v>
      </c>
      <c r="G7" s="108" t="n">
        <v>315</v>
      </c>
      <c r="H7" s="109" t="n">
        <v>286</v>
      </c>
      <c r="I7" s="109" t="n">
        <v>261</v>
      </c>
    </row>
    <row r="8" ht="14" customHeight="1">
      <c r="B8" s="106" t="n">
        <v>0.035</v>
      </c>
      <c r="C8" s="110" t="n">
        <v>629</v>
      </c>
      <c r="D8" s="110" t="n">
        <v>523</v>
      </c>
      <c r="E8" s="107" t="n">
        <v>447</v>
      </c>
      <c r="F8" s="107" t="n">
        <v>390</v>
      </c>
      <c r="G8" s="111" t="n">
        <v>346</v>
      </c>
      <c r="H8" s="111" t="n">
        <v>310</v>
      </c>
      <c r="I8" s="109" t="n">
        <v>281</v>
      </c>
    </row>
    <row r="9" ht="14" customHeight="1">
      <c r="B9" s="106" t="n">
        <v>0.04</v>
      </c>
      <c r="C9" s="110" t="n">
        <v>776</v>
      </c>
      <c r="D9" s="110" t="n">
        <v>619</v>
      </c>
      <c r="E9" s="110" t="n">
        <v>514</v>
      </c>
      <c r="F9" s="107" t="n">
        <v>440</v>
      </c>
      <c r="G9" s="107" t="n">
        <v>384</v>
      </c>
      <c r="H9" s="108" t="n">
        <v>340</v>
      </c>
      <c r="I9" s="108" t="n">
        <v>305</v>
      </c>
    </row>
    <row r="10" ht="12" customHeight="1">
      <c r="B10" s="112" t="inlineStr">
        <is>
          <t>DCF only — excludes luxury multiple premium.  Green ≥ $450 (PT)  ·  Light green ≥ $375 (current)  ·  Yellow &lt; $300  ·  Red &lt; $220  |  Base: WACC 7.5%, TGR 3.0%</t>
        </is>
      </c>
    </row>
    <row r="12" ht="6" customHeight="1">
      <c r="B12" s="22" t="inlineStr">
        <is>
          <t>TABLE 2  — Implied USD Price  by EV/EBITDA Multiple × FY2026E EBITDA (€M)</t>
        </is>
      </c>
    </row>
    <row r="13" ht="14" customHeight="1">
      <c r="B13" s="105" t="inlineStr">
        <is>
          <t>Multiple  →</t>
        </is>
      </c>
      <c r="C13" s="31" t="inlineStr">
        <is>
          <t>5x</t>
        </is>
      </c>
      <c r="D13" s="31" t="inlineStr">
        <is>
          <t>10x</t>
        </is>
      </c>
      <c r="E13" s="31" t="inlineStr">
        <is>
          <t>15x</t>
        </is>
      </c>
      <c r="F13" s="31" t="inlineStr">
        <is>
          <t>20x</t>
        </is>
      </c>
      <c r="G13" s="31" t="inlineStr">
        <is>
          <t>22x</t>
        </is>
      </c>
      <c r="H13" s="31" t="inlineStr">
        <is>
          <t>25x</t>
        </is>
      </c>
      <c r="I13" s="31" t="inlineStr">
        <is>
          <t>27x</t>
        </is>
      </c>
    </row>
    <row r="14" ht="14" customHeight="1">
      <c r="B14" s="31" t="inlineStr">
        <is>
          <t>€2,500M</t>
        </is>
      </c>
      <c r="C14" s="113" t="n">
        <v>81</v>
      </c>
      <c r="D14" s="113" t="n">
        <v>163</v>
      </c>
      <c r="E14" s="109" t="n">
        <v>245</v>
      </c>
      <c r="F14" s="108" t="n">
        <v>327</v>
      </c>
      <c r="G14" s="108" t="n">
        <v>359</v>
      </c>
      <c r="H14" s="107" t="n">
        <v>409</v>
      </c>
      <c r="I14" s="107" t="n">
        <v>441</v>
      </c>
    </row>
    <row r="15" ht="14" customHeight="1">
      <c r="B15" s="31" t="inlineStr">
        <is>
          <t>€2,700M</t>
        </is>
      </c>
      <c r="C15" s="113" t="n">
        <v>87</v>
      </c>
      <c r="D15" s="113" t="n">
        <v>176</v>
      </c>
      <c r="E15" s="109" t="n">
        <v>264</v>
      </c>
      <c r="F15" s="111" t="n">
        <v>353</v>
      </c>
      <c r="G15" s="107" t="n">
        <v>388</v>
      </c>
      <c r="H15" s="107" t="n">
        <v>441</v>
      </c>
      <c r="I15" s="110" t="n">
        <v>477</v>
      </c>
    </row>
    <row r="16" ht="14" customHeight="1">
      <c r="B16" s="31" t="inlineStr">
        <is>
          <t>€2,925M</t>
        </is>
      </c>
      <c r="C16" s="113" t="n">
        <v>95</v>
      </c>
      <c r="D16" s="113" t="n">
        <v>191</v>
      </c>
      <c r="E16" s="109" t="n">
        <v>286</v>
      </c>
      <c r="F16" s="107" t="n">
        <v>382</v>
      </c>
      <c r="G16" s="107" t="n">
        <v>421</v>
      </c>
      <c r="H16" s="110" t="n">
        <v>478</v>
      </c>
      <c r="I16" s="110" t="n">
        <v>517</v>
      </c>
    </row>
    <row r="17" ht="14" customHeight="1">
      <c r="B17" s="31" t="inlineStr">
        <is>
          <t>€3,100M</t>
        </is>
      </c>
      <c r="C17" s="113" t="n">
        <v>100</v>
      </c>
      <c r="D17" s="109" t="n">
        <v>202</v>
      </c>
      <c r="E17" s="111" t="n">
        <v>304</v>
      </c>
      <c r="F17" s="107" t="n">
        <v>405</v>
      </c>
      <c r="G17" s="107" t="n">
        <v>446</v>
      </c>
      <c r="H17" s="110" t="n">
        <v>507</v>
      </c>
      <c r="I17" s="110" t="n">
        <v>548</v>
      </c>
    </row>
    <row r="18" ht="14" customHeight="1">
      <c r="B18" s="31" t="inlineStr">
        <is>
          <t>€3,300M</t>
        </is>
      </c>
      <c r="C18" s="113" t="n">
        <v>107</v>
      </c>
      <c r="D18" s="109" t="n">
        <v>215</v>
      </c>
      <c r="E18" s="108" t="n">
        <v>323</v>
      </c>
      <c r="F18" s="107" t="n">
        <v>431</v>
      </c>
      <c r="G18" s="110" t="n">
        <v>475</v>
      </c>
      <c r="H18" s="110" t="n">
        <v>540</v>
      </c>
      <c r="I18" s="110" t="n">
        <v>583</v>
      </c>
    </row>
    <row r="21" ht="6" customHeight="1">
      <c r="B21" s="22" t="inlineStr">
        <is>
          <t>TABLE 3  — Bull / Base / Bear Scenario Summary</t>
        </is>
      </c>
    </row>
    <row r="22" ht="16" customHeight="1">
      <c r="B22" s="30" t="inlineStr">
        <is>
          <t>Metric</t>
        </is>
      </c>
      <c r="C22" s="114" t="inlineStr">
        <is>
          <t>Bear</t>
        </is>
      </c>
      <c r="E22" s="32" t="inlineStr">
        <is>
          <t>Base</t>
        </is>
      </c>
      <c r="G22" s="115" t="inlineStr">
        <is>
          <t>Bull</t>
        </is>
      </c>
    </row>
    <row r="23" ht="13" customHeight="1">
      <c r="B23" s="50" t="inlineStr">
        <is>
          <t>Volume CAGR '25–'30</t>
        </is>
      </c>
      <c r="C23" s="72" t="inlineStr">
        <is>
          <t>1% CAGR</t>
        </is>
      </c>
      <c r="E23" s="72" t="inlineStr">
        <is>
          <t>3% CAGR</t>
        </is>
      </c>
      <c r="G23" s="72" t="inlineStr">
        <is>
          <t>4% CAGR</t>
        </is>
      </c>
    </row>
    <row r="24" ht="13" customHeight="1">
      <c r="B24" s="33" t="inlineStr">
        <is>
          <t>ASP CAGR '25–'30</t>
        </is>
      </c>
      <c r="C24" s="74" t="inlineStr">
        <is>
          <t>3% CAGR</t>
        </is>
      </c>
      <c r="E24" s="74" t="inlineStr">
        <is>
          <t>5.5% CAGR</t>
        </is>
      </c>
      <c r="G24" s="74" t="inlineStr">
        <is>
          <t>8% CAGR</t>
        </is>
      </c>
    </row>
    <row r="25" ht="13" customHeight="1">
      <c r="B25" s="50" t="inlineStr">
        <is>
          <t>FY2030E EBITDA Margin</t>
        </is>
      </c>
      <c r="C25" s="72" t="inlineStr">
        <is>
          <t>36.0%</t>
        </is>
      </c>
      <c r="E25" s="72" t="inlineStr">
        <is>
          <t>40.5%</t>
        </is>
      </c>
      <c r="G25" s="72" t="inlineStr">
        <is>
          <t>44.0%</t>
        </is>
      </c>
    </row>
    <row r="26" ht="13" customHeight="1">
      <c r="B26" s="33" t="inlineStr">
        <is>
          <t>WACC</t>
        </is>
      </c>
      <c r="C26" s="74" t="inlineStr">
        <is>
          <t>9.5%</t>
        </is>
      </c>
      <c r="E26" s="74" t="inlineStr">
        <is>
          <t>7.5%</t>
        </is>
      </c>
      <c r="G26" s="74" t="inlineStr">
        <is>
          <t>7.0%</t>
        </is>
      </c>
    </row>
    <row r="27" ht="13" customHeight="1">
      <c r="B27" s="50" t="inlineStr">
        <is>
          <t>Terminal Growth Rate</t>
        </is>
      </c>
      <c r="C27" s="72" t="inlineStr">
        <is>
          <t>2.5%</t>
        </is>
      </c>
      <c r="E27" s="72" t="inlineStr">
        <is>
          <t>3.0%</t>
        </is>
      </c>
      <c r="G27" s="72" t="inlineStr">
        <is>
          <t>3.5%</t>
        </is>
      </c>
    </row>
    <row r="28" ht="13" customHeight="1">
      <c r="B28" s="46" t="inlineStr">
        <is>
          <t>DCF Price Target</t>
        </is>
      </c>
      <c r="C28" s="116" t="inlineStr">
        <is>
          <t>$210</t>
        </is>
      </c>
      <c r="E28" s="117" t="inlineStr">
        <is>
          <t>$351</t>
        </is>
      </c>
      <c r="G28" s="118" t="inlineStr">
        <is>
          <t>$480</t>
        </is>
      </c>
    </row>
    <row r="29" ht="13" customHeight="1">
      <c r="B29" s="42" t="inlineStr">
        <is>
          <t>Blended PT (40/60)</t>
        </is>
      </c>
      <c r="C29" s="116" t="inlineStr">
        <is>
          <t>$260</t>
        </is>
      </c>
      <c r="E29" s="117" t="inlineStr">
        <is>
          <t>$450</t>
        </is>
      </c>
      <c r="G29" s="118" t="inlineStr">
        <is>
          <t>$560</t>
        </is>
      </c>
    </row>
    <row r="30" ht="28" customHeight="1">
      <c r="B30" s="33" t="inlineStr">
        <is>
          <t>Thesis</t>
        </is>
      </c>
      <c r="C30" s="14" t="inlineStr">
        <is>
          <t>Luxury multiple collapses to auto levels; Luce disappoints</t>
        </is>
      </c>
      <c r="E30" s="14" t="inlineStr">
        <is>
          <t>Multiple re-rates to 27x; Luce confirms ASP accretion</t>
        </is>
      </c>
      <c r="G30" s="14" t="inlineStr">
        <is>
          <t>Luce 30x+ multiple + Hermès re-rating; EPS beats consensus</t>
        </is>
      </c>
    </row>
    <row r="33" ht="4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</sheetData>
  <mergeCells count="32">
    <mergeCell ref="C24:D24"/>
    <mergeCell ref="C30:D30"/>
    <mergeCell ref="E24:F24"/>
    <mergeCell ref="G27:H27"/>
    <mergeCell ref="E23:F23"/>
    <mergeCell ref="G23:H23"/>
    <mergeCell ref="C26:D26"/>
    <mergeCell ref="C29:D29"/>
    <mergeCell ref="E29:F29"/>
    <mergeCell ref="C25:D25"/>
    <mergeCell ref="E28:F28"/>
    <mergeCell ref="G28:H28"/>
    <mergeCell ref="C22:D22"/>
    <mergeCell ref="B3:H3"/>
    <mergeCell ref="E30:F30"/>
    <mergeCell ref="G24:H24"/>
    <mergeCell ref="G30:H30"/>
    <mergeCell ref="B21:H21"/>
    <mergeCell ref="C27:D27"/>
    <mergeCell ref="B12:H12"/>
    <mergeCell ref="E27:F27"/>
    <mergeCell ref="B2:H2"/>
    <mergeCell ref="E26:F26"/>
    <mergeCell ref="C23:D23"/>
    <mergeCell ref="G26:H26"/>
    <mergeCell ref="G29:H29"/>
    <mergeCell ref="E25:F25"/>
    <mergeCell ref="G25:H25"/>
    <mergeCell ref="C28:D28"/>
    <mergeCell ref="E22:F22"/>
    <mergeCell ref="B10:H10"/>
    <mergeCell ref="G22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2026-02-26T17:08:39Z</dcterms:created>
  <dcterms:modified xmlns:dcterms="http://purl.org/dc/terms/" xmlns:xsi="http://www.w3.org/2001/XMLSchema-instance" xsi:type="dcterms:W3CDTF">2026-02-26T17:08:39Z</dcterms:modified>
</cp:coreProperties>
</file>