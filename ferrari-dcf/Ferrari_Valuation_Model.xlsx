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Assumptions" sheetId="2" state="visible" r:id="rId2"/>
    <sheet name="Income Statement" sheetId="3" state="visible" r:id="rId3"/>
    <sheet name="DCF &amp; Valuation" sheetId="4" state="visible" r:id="rId4"/>
    <sheet name="Sensitiv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0.0%"/>
    <numFmt numFmtId="165" formatCode="€#,##0.00"/>
    <numFmt numFmtId="166" formatCode="&quot;$&quot;#,##0.00"/>
    <numFmt numFmtId="167" formatCode="#,##0.0"/>
    <numFmt numFmtId="168" formatCode="0.0"/>
    <numFmt numFmtId="169" formatCode="0.0&quot;x&quot;"/>
    <numFmt numFmtId="170" formatCode="&quot;$&quot;#,##0"/>
    <numFmt numFmtId="171" formatCode="0&quot;x&quot;"/>
    <numFmt numFmtId="172" formatCode="0.0000"/>
    <numFmt numFmtId="173" formatCode="&quot;€&quot;#,##0&quot;M&quot;"/>
  </numFmts>
  <fonts count="1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8"/>
    </font>
    <font>
      <name val="Calibri"/>
      <color rgb="001F1F1F"/>
      <sz val="9"/>
    </font>
    <font>
      <name val="Calibri"/>
      <color rgb="001F3864"/>
      <sz val="9"/>
    </font>
    <font>
      <name val="Calibri"/>
      <i val="1"/>
      <color rgb="001F1F1F"/>
      <sz val="9"/>
    </font>
    <font>
      <name val="Calibri"/>
      <b val="1"/>
      <color rgb="001F1F1F"/>
      <sz val="9"/>
    </font>
    <font>
      <name val="Calibri"/>
      <i val="1"/>
      <color rgb="00595959"/>
      <sz val="8"/>
    </font>
    <font>
      <name val="Calibri"/>
      <i val="1"/>
      <color rgb="00595959"/>
      <sz val="7"/>
    </font>
    <font>
      <name val="Calibri"/>
      <b val="1"/>
      <color rgb="008B0000"/>
      <sz val="9"/>
    </font>
    <font>
      <name val="Calibri"/>
      <b val="1"/>
      <color rgb="00C0272D"/>
      <sz val="9"/>
    </font>
    <font>
      <name val="Calibri"/>
      <b val="1"/>
      <color rgb="008B0000"/>
      <sz val="20"/>
    </font>
    <font>
      <name val="Calibri"/>
      <i val="1"/>
      <color rgb="00595959"/>
      <sz val="10"/>
    </font>
    <font>
      <name val="Calibri"/>
      <color rgb="00595959"/>
      <sz val="9"/>
    </font>
    <font>
      <name val="Calibri"/>
      <color rgb="001F1F1F"/>
      <sz val="8"/>
    </font>
    <font>
      <name val="Calibri"/>
      <b val="1"/>
      <color rgb="001F3864"/>
      <sz val="8"/>
    </font>
    <font>
      <name val="Calibri"/>
      <b val="1"/>
      <color rgb="008B0000"/>
      <sz val="8"/>
    </font>
    <font>
      <name val="Calibri"/>
      <b val="1"/>
      <color rgb="00C00000"/>
      <sz val="8"/>
    </font>
  </fonts>
  <fills count="12">
    <fill>
      <patternFill/>
    </fill>
    <fill>
      <patternFill patternType="gray125"/>
    </fill>
    <fill>
      <patternFill patternType="solid">
        <fgColor rgb="00C0272D"/>
      </patternFill>
    </fill>
    <fill>
      <patternFill patternType="solid">
        <fgColor rgb="008B0000"/>
      </patternFill>
    </fill>
    <fill>
      <patternFill patternType="solid">
        <fgColor rgb="001F3864"/>
      </patternFill>
    </fill>
    <fill>
      <patternFill patternType="solid">
        <fgColor rgb="0017375E"/>
      </patternFill>
    </fill>
    <fill>
      <patternFill patternType="solid">
        <fgColor rgb="00DBE5F1"/>
      </patternFill>
    </fill>
    <fill>
      <patternFill patternType="solid">
        <fgColor rgb="00F5F5F5"/>
      </patternFill>
    </fill>
    <fill>
      <patternFill patternType="solid">
        <fgColor rgb="00C00000"/>
      </patternFill>
    </fill>
    <fill>
      <patternFill patternType="solid">
        <fgColor rgb="00375623"/>
      </patternFill>
    </fill>
    <fill>
      <patternFill patternType="solid">
        <fgColor rgb="00EBF1D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8">
    <xf numFmtId="0" fontId="0" fillId="0" borderId="0" pivotButton="0" quotePrefix="0" xfId="0"/>
    <xf numFmtId="0" fontId="0" fillId="2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/>
    </xf>
    <xf numFmtId="0" fontId="15" fillId="7" borderId="0" pivotButton="0" quotePrefix="0" xfId="0"/>
    <xf numFmtId="0" fontId="16" fillId="7" borderId="0" applyAlignment="1" pivotButton="0" quotePrefix="0" xfId="0">
      <alignment horizontal="right" vertical="center"/>
    </xf>
    <xf numFmtId="0" fontId="17" fillId="7" borderId="0" applyAlignment="1" pivotButton="0" quotePrefix="0" xfId="0">
      <alignment horizontal="right" vertical="center"/>
    </xf>
    <xf numFmtId="0" fontId="15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right" vertical="center"/>
    </xf>
    <xf numFmtId="0" fontId="15" fillId="0" borderId="0" applyAlignment="1" pivotButton="0" quotePrefix="0" xfId="0">
      <alignment horizontal="left" vertical="top" wrapText="1"/>
    </xf>
    <xf numFmtId="0" fontId="17" fillId="7" borderId="0" applyAlignment="1" pivotButton="0" quotePrefix="0" xfId="0">
      <alignment horizontal="left" vertical="top" wrapText="1"/>
    </xf>
    <xf numFmtId="0" fontId="15" fillId="7" borderId="0" applyAlignment="1" pivotButton="0" quotePrefix="0" xfId="0">
      <alignment horizontal="left" vertical="top" wrapText="1"/>
    </xf>
    <xf numFmtId="0" fontId="17" fillId="0" borderId="0" applyAlignment="1" pivotButton="0" quotePrefix="0" xfId="0">
      <alignment horizontal="left" vertical="top" wrapText="1"/>
    </xf>
    <xf numFmtId="0" fontId="3" fillId="5" borderId="0" applyAlignment="1" pivotButton="0" quotePrefix="0" xfId="0">
      <alignment horizontal="left" vertical="center"/>
    </xf>
    <xf numFmtId="0" fontId="18" fillId="7" borderId="0" pivotButton="0" quotePrefix="0" xfId="0"/>
    <xf numFmtId="0" fontId="0" fillId="7" borderId="0" pivotButton="0" quotePrefix="0" xfId="0"/>
    <xf numFmtId="0" fontId="18" fillId="0" borderId="0" pivotButton="0" quotePrefix="0" xfId="0"/>
    <xf numFmtId="0" fontId="9" fillId="0" borderId="0" applyAlignment="1" pivotButton="0" quotePrefix="0" xfId="0">
      <alignment horizontal="left" vertical="center" wrapText="1"/>
    </xf>
    <xf numFmtId="0" fontId="9" fillId="0" borderId="0" pivotButton="0" quotePrefix="0" xfId="0"/>
    <xf numFmtId="0" fontId="1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3" fontId="5" fillId="6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right" vertical="center"/>
    </xf>
    <xf numFmtId="164" fontId="5" fillId="6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 indent="1"/>
    </xf>
    <xf numFmtId="3" fontId="7" fillId="0" borderId="0" applyAlignment="1" pivotButton="0" quotePrefix="0" xfId="0">
      <alignment horizontal="right" vertical="center"/>
    </xf>
    <xf numFmtId="0" fontId="4" fillId="7" borderId="0" applyAlignment="1" pivotButton="0" quotePrefix="0" xfId="0">
      <alignment horizontal="left" vertical="center" indent="1"/>
    </xf>
    <xf numFmtId="0" fontId="0" fillId="7" borderId="0" applyAlignment="1" pivotButton="0" quotePrefix="0" xfId="0">
      <alignment horizontal="center" vertical="center"/>
    </xf>
    <xf numFmtId="165" fontId="5" fillId="6" borderId="0" applyAlignment="1" pivotButton="0" quotePrefix="0" xfId="0">
      <alignment horizontal="right" vertical="center"/>
    </xf>
    <xf numFmtId="166" fontId="5" fillId="6" borderId="0" applyAlignment="1" pivotButton="0" quotePrefix="0" xfId="0">
      <alignment horizontal="right" vertical="center"/>
    </xf>
    <xf numFmtId="0" fontId="8" fillId="0" borderId="0" pivotButton="0" quotePrefix="0" xfId="0"/>
    <xf numFmtId="2" fontId="5" fillId="6" borderId="0" applyAlignment="1" pivotButton="0" quotePrefix="0" xfId="0">
      <alignment horizontal="right" vertical="center"/>
    </xf>
    <xf numFmtId="167" fontId="5" fillId="6" borderId="0" applyAlignment="1" pivotButton="0" quotePrefix="0" xfId="0">
      <alignment horizontal="right" vertical="center"/>
    </xf>
    <xf numFmtId="10" fontId="5" fillId="6" borderId="0" applyAlignment="1" pivotButton="0" quotePrefix="0" xfId="0">
      <alignment horizontal="right" vertical="center"/>
    </xf>
    <xf numFmtId="168" fontId="5" fillId="6" borderId="0" applyAlignment="1" pivotButton="0" quotePrefix="0" xfId="0">
      <alignment horizontal="right" vertical="center"/>
    </xf>
    <xf numFmtId="169" fontId="5" fillId="6" borderId="0" applyAlignment="1" pivotButton="0" quotePrefix="0" xfId="0">
      <alignment horizontal="right" vertical="center"/>
    </xf>
    <xf numFmtId="170" fontId="5" fillId="6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center" vertical="center"/>
    </xf>
    <xf numFmtId="171" fontId="5" fillId="6" borderId="0" applyAlignment="1" pivotButton="0" quotePrefix="0" xfId="0">
      <alignment horizontal="right" vertical="center"/>
    </xf>
    <xf numFmtId="49" fontId="5" fillId="6" borderId="0" applyAlignment="1" pivotButton="0" quotePrefix="0" xfId="0">
      <alignment horizontal="right" vertical="center"/>
    </xf>
    <xf numFmtId="0" fontId="2" fillId="8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10" fontId="4" fillId="0" borderId="0" applyAlignment="1" pivotButton="0" quotePrefix="0" xfId="0">
      <alignment horizontal="right" vertical="center"/>
    </xf>
    <xf numFmtId="169" fontId="4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top" wrapText="1"/>
    </xf>
    <xf numFmtId="3" fontId="4" fillId="10" borderId="0" applyAlignment="1" pivotButton="0" quotePrefix="0" xfId="0">
      <alignment horizontal="right" vertical="center"/>
    </xf>
    <xf numFmtId="165" fontId="4" fillId="10" borderId="0" applyAlignment="1" pivotButton="0" quotePrefix="0" xfId="0">
      <alignment horizontal="right" vertical="center"/>
    </xf>
    <xf numFmtId="165" fontId="4" fillId="0" borderId="0" applyAlignment="1" pivotButton="0" quotePrefix="0" xfId="0">
      <alignment horizontal="right" vertical="center"/>
    </xf>
    <xf numFmtId="3" fontId="10" fillId="0" borderId="0" applyAlignment="1" pivotButton="0" quotePrefix="0" xfId="0">
      <alignment horizontal="right" vertical="center"/>
    </xf>
    <xf numFmtId="10" fontId="4" fillId="10" borderId="0" applyAlignment="1" pivotButton="0" quotePrefix="0" xfId="0">
      <alignment horizontal="right" vertical="center"/>
    </xf>
    <xf numFmtId="2" fontId="4" fillId="10" borderId="0" applyAlignment="1" pivotButton="0" quotePrefix="0" xfId="0">
      <alignment horizontal="right" vertical="center"/>
    </xf>
    <xf numFmtId="10" fontId="10" fillId="0" borderId="0" applyAlignment="1" pivotButton="0" quotePrefix="0" xfId="0">
      <alignment horizontal="right" vertical="center"/>
    </xf>
    <xf numFmtId="168" fontId="4" fillId="0" borderId="0" applyAlignment="1" pivotButton="0" quotePrefix="0" xfId="0">
      <alignment horizontal="right" vertical="center"/>
    </xf>
    <xf numFmtId="172" fontId="4" fillId="0" borderId="0" applyAlignment="1" pivotButton="0" quotePrefix="0" xfId="0">
      <alignment horizontal="right" vertical="center"/>
    </xf>
    <xf numFmtId="167" fontId="4" fillId="10" borderId="0" applyAlignment="1" pivotButton="0" quotePrefix="0" xfId="0">
      <alignment horizontal="right" vertical="center"/>
    </xf>
    <xf numFmtId="165" fontId="10" fillId="0" borderId="0" applyAlignment="1" pivotButton="0" quotePrefix="0" xfId="0">
      <alignment horizontal="right" vertical="center"/>
    </xf>
    <xf numFmtId="166" fontId="10" fillId="0" borderId="0" applyAlignment="1" pivotButton="0" quotePrefix="0" xfId="0">
      <alignment horizontal="right" vertical="center"/>
    </xf>
    <xf numFmtId="166" fontId="4" fillId="10" borderId="0" applyAlignment="1" pivotButton="0" quotePrefix="0" xfId="0">
      <alignment horizontal="right" vertical="center"/>
    </xf>
    <xf numFmtId="164" fontId="10" fillId="0" borderId="0" applyAlignment="1" pivotButton="0" quotePrefix="0" xfId="0">
      <alignment horizontal="right" vertical="center"/>
    </xf>
    <xf numFmtId="49" fontId="4" fillId="10" borderId="0" applyAlignment="1" pivotButton="0" quotePrefix="0" xfId="0">
      <alignment horizontal="left" vertical="center"/>
    </xf>
    <xf numFmtId="169" fontId="4" fillId="10" borderId="0" applyAlignment="1" pivotButton="0" quotePrefix="0" xfId="0">
      <alignment horizontal="right" vertical="center"/>
    </xf>
    <xf numFmtId="171" fontId="4" fillId="10" borderId="0" applyAlignment="1" pivotButton="0" quotePrefix="0" xfId="0">
      <alignment horizontal="right" vertical="center"/>
    </xf>
    <xf numFmtId="49" fontId="4" fillId="10" borderId="0" applyAlignment="1" pivotButton="0" quotePrefix="0" xfId="0">
      <alignment horizontal="right" vertical="center"/>
    </xf>
    <xf numFmtId="0" fontId="7" fillId="11" borderId="0" applyAlignment="1" pivotButton="0" quotePrefix="0" xfId="0">
      <alignment horizontal="left" vertical="center"/>
    </xf>
    <xf numFmtId="169" fontId="11" fillId="11" borderId="0" applyAlignment="1" pivotButton="0" quotePrefix="0" xfId="0">
      <alignment horizontal="right" vertical="center"/>
    </xf>
    <xf numFmtId="0" fontId="0" fillId="11" borderId="0" pivotButton="0" quotePrefix="0" xfId="0"/>
    <xf numFmtId="166" fontId="4" fillId="0" borderId="0" applyAlignment="1" pivotButton="0" quotePrefix="0" xfId="0">
      <alignment horizontal="right" vertical="center"/>
    </xf>
    <xf numFmtId="0" fontId="7" fillId="10" borderId="0" applyAlignment="1" pivotButton="0" quotePrefix="0" xfId="0">
      <alignment horizontal="left" vertical="center"/>
    </xf>
    <xf numFmtId="166" fontId="7" fillId="10" borderId="0" applyAlignment="1" pivotButton="0" quotePrefix="0" xfId="0">
      <alignment horizontal="right" vertical="center"/>
    </xf>
    <xf numFmtId="164" fontId="4" fillId="10" borderId="0" applyAlignment="1" pivotButton="0" quotePrefix="0" xfId="0">
      <alignment horizontal="right" vertical="center"/>
    </xf>
    <xf numFmtId="49" fontId="4" fillId="0" borderId="0" applyAlignment="1" pivotButton="0" quotePrefix="0" xfId="0">
      <alignment horizontal="right" vertical="center"/>
    </xf>
    <xf numFmtId="0" fontId="7" fillId="6" borderId="0" applyAlignment="1" pivotButton="0" quotePrefix="0" xfId="0">
      <alignment horizontal="left" vertical="center"/>
    </xf>
    <xf numFmtId="170" fontId="10" fillId="6" borderId="0" applyAlignment="1" pivotButton="0" quotePrefix="0" xfId="0">
      <alignment horizontal="right" vertical="center"/>
    </xf>
    <xf numFmtId="164" fontId="10" fillId="6" borderId="0" applyAlignment="1" pivotButton="0" quotePrefix="0" xfId="0">
      <alignment horizontal="right" vertical="center"/>
    </xf>
    <xf numFmtId="49" fontId="10" fillId="6" borderId="0" applyAlignment="1" pivotButton="0" quotePrefix="0" xfId="0">
      <alignment horizontal="right" vertical="center"/>
    </xf>
    <xf numFmtId="0" fontId="2" fillId="3" borderId="0" applyAlignment="1" pivotButton="0" quotePrefix="0" xfId="0">
      <alignment horizontal="right" vertical="center"/>
    </xf>
    <xf numFmtId="10" fontId="2" fillId="3" borderId="0" applyAlignment="1" pivotButton="0" quotePrefix="0" xfId="0">
      <alignment horizontal="right" vertical="center"/>
    </xf>
    <xf numFmtId="166" fontId="7" fillId="6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169" fontId="2" fillId="3" borderId="0" applyAlignment="1" pivotButton="0" quotePrefix="0" xfId="0">
      <alignment horizontal="right" vertical="center"/>
    </xf>
    <xf numFmtId="173" fontId="2" fillId="3" borderId="0" applyAlignment="1" pivotButton="0" quotePrefix="0" xfId="0">
      <alignment horizontal="right" vertical="center"/>
    </xf>
    <xf numFmtId="166" fontId="7" fillId="0" borderId="0" applyAlignment="1" pivotButton="0" quotePrefix="0" xfId="0">
      <alignment horizontal="right" vertical="center"/>
    </xf>
    <xf numFmtId="2" fontId="4" fillId="0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selection activeCell="A1" sqref="A1"/>
    </sheetView>
  </sheetViews>
  <sheetFormatPr baseColWidth="8" defaultRowHeight="15"/>
  <cols>
    <col width="1.5" customWidth="1" min="1" max="1"/>
    <col width="1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.5" customWidth="1" min="10" max="10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 ht="42" customHeight="1">
      <c r="B3" s="2" t="inlineStr">
        <is>
          <t>Ferrari N.V.  (NYSE: RACE  |  BIT: RACE)</t>
        </is>
      </c>
    </row>
    <row r="4">
      <c r="B4" s="3" t="inlineStr">
        <is>
          <t>Equity Research  |  Initiating Coverage  |  April 2026 Update</t>
        </is>
      </c>
    </row>
    <row r="5">
      <c r="B5" s="4" t="inlineStr">
        <is>
          <t>Luxury Goods / Consumer Discretionary  |  Francisco Rodriguez</t>
        </is>
      </c>
    </row>
    <row r="6" ht="3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</row>
    <row r="7" ht="38" customHeight="1">
      <c r="B7" s="5">
        <f>"RATING"&amp;CHAR(10)&amp;'DCF &amp; Valuation'!C67</f>
        <v/>
      </c>
      <c r="D7" s="6">
        <f>"PRICE TARGET"&amp;CHAR(10)&amp;TEXT('DCF &amp; Valuation'!C64,"$#,##0")</f>
        <v/>
      </c>
      <c r="F7" s="7">
        <f>"CURRENT PRICE"&amp;CHAR(10)&amp;TEXT('DCF &amp; Valuation'!C65,"$#,##0.00")</f>
        <v/>
      </c>
      <c r="H7" s="8">
        <f>"UPSIDE"&amp;CHAR(10)&amp;TEXT('DCF &amp; Valuation'!C66,"+0.0%;-0.0%")</f>
        <v/>
      </c>
    </row>
    <row r="9">
      <c r="B9" s="9" t="inlineStr">
        <is>
          <t>KEY STATISTICS  (FY2025A reported Feb 10, 2026)</t>
        </is>
      </c>
      <c r="F9" s="9" t="inlineStr">
        <is>
          <t>VALUATION SUMMARY</t>
        </is>
      </c>
    </row>
    <row r="10" ht="13" customHeight="1">
      <c r="B10" s="10" t="inlineStr">
        <is>
          <t>Fiscal Year End</t>
        </is>
      </c>
      <c r="E10" s="11">
        <f>"December"</f>
        <v/>
      </c>
      <c r="F10" s="10" t="inlineStr">
        <is>
          <t>52-Wk High / Low</t>
        </is>
      </c>
      <c r="I10" s="12">
        <f>TEXT(Assumptions!$C$27,"$0.00")&amp;" / "&amp;TEXT(Assumptions!$C$28,"$0.00")</f>
        <v/>
      </c>
    </row>
    <row r="11" ht="13" customHeight="1">
      <c r="B11" s="13" t="inlineStr">
        <is>
          <t>Diluted Shares</t>
        </is>
      </c>
      <c r="E11" s="14">
        <f>TEXT(Assumptions!$C$30,"0.0")&amp;"M"</f>
        <v/>
      </c>
      <c r="F11" s="13" t="inlineStr">
        <is>
          <t>Current vs 52-Wk High</t>
        </is>
      </c>
      <c r="I11" s="15">
        <f>TEXT(Assumptions!$C$26/Assumptions!$C$27-1,"+0.0%;-0.0%")</f>
        <v/>
      </c>
    </row>
    <row r="12" ht="13" customHeight="1">
      <c r="B12" s="10" t="inlineStr">
        <is>
          <t>Market Cap</t>
        </is>
      </c>
      <c r="E12" s="11">
        <f>"$"&amp;TEXT(Assumptions!$C$26*Assumptions!$C$30/1000,"0.0")&amp;"B"</f>
        <v/>
      </c>
      <c r="F12" s="10" t="inlineStr">
        <is>
          <t>DCF Value</t>
        </is>
      </c>
      <c r="I12" s="12">
        <f>TEXT('DCF &amp; Valuation'!C34,"$#,##0")&amp;"/share"</f>
        <v/>
      </c>
    </row>
    <row r="13" ht="13" customHeight="1">
      <c r="B13" s="13" t="inlineStr">
        <is>
          <t>Enterprise Value</t>
        </is>
      </c>
      <c r="E13" s="14">
        <f>"$"&amp;TEXT((Assumptions!$C$26*Assumptions!$C$30+Assumptions!$C$31*Assumptions!$C$29)/1000,"0.0")&amp;"B"</f>
        <v/>
      </c>
      <c r="F13" s="13" t="inlineStr">
        <is>
          <t>Comps Value (target)</t>
        </is>
      </c>
      <c r="I13" s="15">
        <f>TEXT('DCF &amp; Valuation'!C61,"$#,##0")&amp;" ("&amp;TEXT(Assumptions!$C$45,"0")&amp;"x '26E)"</f>
        <v/>
      </c>
    </row>
    <row r="14" ht="13" customHeight="1">
      <c r="B14" s="10" t="inlineStr">
        <is>
          <t>Net Industrial Debt</t>
        </is>
      </c>
      <c r="E14" s="11">
        <f>"€"&amp;TEXT(Assumptions!$C$31,"#,##0")&amp;"M  ("&amp;TEXT(Assumptions!$C$31/'Income Statement'!E15,"0.00")&amp;"x EBITDA)"</f>
        <v/>
      </c>
      <c r="F14" s="10" t="inlineStr">
        <is>
          <t>Blended PT</t>
        </is>
      </c>
      <c r="I14" s="12">
        <f>TEXT('DCF &amp; Valuation'!C64,"$#,##0")&amp;" ("&amp;TEXT(Assumptions!$C$43,"0%")&amp;"/"&amp;TEXT(Assumptions!$C$44,"0%")&amp;")"</f>
        <v/>
      </c>
    </row>
    <row r="15" ht="13" customHeight="1">
      <c r="B15" s="13" t="inlineStr">
        <is>
          <t>FY2025A Revenue</t>
        </is>
      </c>
      <c r="E15" s="14">
        <f>"€"&amp;TEXT('Income Statement'!E9,"#,##0")&amp;"M  ("&amp;TEXT('Income Statement'!E10,"+0.0%")&amp;")"</f>
        <v/>
      </c>
      <c r="F15" s="13" t="inlineStr">
        <is>
          <t>Base WACC</t>
        </is>
      </c>
      <c r="I15" s="15">
        <f>TEXT('DCF &amp; Valuation'!C14,"0.0%")&amp;"  (β="&amp;TEXT(Assumptions!$C$36,"0.00")&amp;")"</f>
        <v/>
      </c>
    </row>
    <row r="16" ht="13" customHeight="1">
      <c r="B16" s="10" t="inlineStr">
        <is>
          <t>FY2025A EBITDA</t>
        </is>
      </c>
      <c r="E16" s="11">
        <f>"€"&amp;TEXT('Income Statement'!E15,"#,##0")&amp;"M  ("&amp;TEXT('Income Statement'!E16,"0.0%")&amp;")"</f>
        <v/>
      </c>
      <c r="F16" s="10" t="inlineStr">
        <is>
          <t>Current EV / FY2026E EBITDA</t>
        </is>
      </c>
      <c r="I16" s="12">
        <f>TEXT('DCF &amp; Valuation'!C47,"0.0")&amp;"x"</f>
        <v/>
      </c>
    </row>
    <row r="17" ht="13" customHeight="1">
      <c r="B17" s="13" t="inlineStr">
        <is>
          <t>FY2025A Deliveries</t>
        </is>
      </c>
      <c r="E17" s="14">
        <f>TEXT('Income Statement'!E11,"#,##0")&amp;" units"</f>
        <v/>
      </c>
      <c r="F17" s="13" t="inlineStr">
        <is>
          <t>Analyst Consensus PT</t>
        </is>
      </c>
      <c r="I17" s="15">
        <f>TEXT(Assumptions!$C$32,"$#,##0")</f>
        <v/>
      </c>
    </row>
    <row r="19">
      <c r="B19" s="9" t="inlineStr">
        <is>
          <t>"THE LUCE CATALYST" — WHY THE MARKET HAS THIS WRONG</t>
        </is>
      </c>
    </row>
    <row r="20" ht="78" customHeight="1">
      <c r="B20" s="16">
        <f>"Ferrari trades "&amp;TEXT(1-Assumptions!$C$26/Assumptions!$C$27,"0%")&amp;" below its 52-week high despite FY2025 results that reached its June 2022 Capital Markets Day targets for 2026 a year early. The selloff reflects luxury-sector multiple compression and EV-transition fears borrowed from automakers. "&amp;"The Luce — Ferrari's first EV, unveiled Apr 21 2026 at ~€550K vs. a ~€520K fleet ASP — is an ASP accelerant, not a margin headwind. "&amp;"Rating: "&amp;'DCF &amp; Valuation'!C67&amp;", PT "&amp;TEXT('DCF &amp; Valuation'!C64,"$#,##0")&amp;" = "&amp;TEXT(Assumptions!$C$43,"0%")&amp;" DCF ("&amp;TEXT('DCF &amp; Valuation'!C34,"$#,##0")&amp;") + "&amp;TEXT(Assumptions!$C$44,"0%")&amp;" comps at "&amp;TEXT(Assumptions!$C$45,"0")&amp;"x FY2026E EBITDA ("&amp;TEXT('DCF &amp; Valuation'!C61,"$#,##0")&amp;")."</f>
        <v/>
      </c>
    </row>
    <row r="21" ht="62" customHeight="1">
      <c r="B21" s="17" t="inlineStr">
        <is>
          <t>1.  The Luce — Ferrari's First EV Is an ASP Catalyst, Not a Cost Headwind</t>
        </is>
      </c>
      <c r="D21" s="18" t="inlineStr">
        <is>
          <t>Every automaker's EV is cheaper than its ICE equivalent. Ferrari's Luce inverts this: 1,000+ hp, an interior designed with LoveFrom, and a ~€550K price — a premium to the ~€520K fleet ASP. First deliveries October 2026. The market is applying BMW EV margin math to a company that operates more like Hermès.</t>
        </is>
      </c>
    </row>
    <row r="22" ht="62" customHeight="1">
      <c r="B22" s="19" t="inlineStr">
        <is>
          <t>2.  FY2025A Hit 2026 CMD Targets a Year Early</t>
        </is>
      </c>
      <c r="D22" s="16" t="inlineStr">
        <is>
          <t>The June 2022 Capital Markets Day set 2026 targets; FY2025A already delivered revenue €7,146M, EBITDA margin 38.8% and EPS €8.96. 2026 guidance: revenue ~€7.5B, EBITDA margin ≥39%, EPS ≥€9.45. Execution risk — the main bear argument — is the weakest it has been.</t>
        </is>
      </c>
    </row>
    <row r="23" ht="62" customHeight="1">
      <c r="B23" s="17" t="inlineStr">
        <is>
          <t>3.  Multiple Compression Created the Entry Point</t>
        </is>
      </c>
      <c r="D23" s="18">
        <f>"EV / FY2026E EBITDA has compressed from ~30x in early 2025 to "&amp;TEXT('DCF &amp; Valuation'!C47,"0.0")&amp;"x today on China and EV fears. Ferrari's China/HK exposure is ~10% of deliveries vs. 25-35% for LVMH and Hermès. A re-rating to "&amp;TEXT(Assumptions!$C$45,"0")&amp;"x FY2026E EBITDA implies "&amp;TEXT('DCF &amp; Valuation'!C61,"$#,##0")&amp;"/share."</f>
        <v/>
      </c>
    </row>
    <row r="24" ht="62" customHeight="1">
      <c r="B24" s="19" t="inlineStr">
        <is>
          <t>4.  Constrained Supply = Compounding Pricing Power</t>
        </is>
      </c>
      <c r="D24" s="16">
        <f>"Ferrari delivered "&amp;TEXT('Income Statement'!E11,"#,##0")&amp;" cars in FY2025 — volume grows ~3% a year by design. Scarcity drives 5-6% ASP growth without discounting; we model EBITDA margin rising from "&amp;TEXT('Income Statement'!E16,"0.0%")&amp;" to "&amp;TEXT('Income Statement'!J16,"0.0%")&amp;" by FY2030E. Hermès trades at "&amp;TEXT(Assumptions!C56,"0")&amp;"x EV/EBITDA."</f>
        <v/>
      </c>
    </row>
    <row r="26">
      <c r="B26" s="20" t="inlineStr">
        <is>
          <t>KEY RISKS</t>
        </is>
      </c>
    </row>
    <row r="27" ht="13" customHeight="1">
      <c r="B27" s="21" t="inlineStr">
        <is>
          <t>▪  Multiple stays compressed</t>
        </is>
      </c>
      <c r="C27" s="22" t="n"/>
      <c r="D27" s="10" t="inlineStr">
        <is>
          <t>If the luxury de-rating persists, the comps leg of the PT does not materialise</t>
        </is>
      </c>
    </row>
    <row r="28" ht="13" customHeight="1">
      <c r="B28" s="23" t="inlineStr">
        <is>
          <t>▪  Luce margins disappoint</t>
        </is>
      </c>
      <c r="D28" s="13" t="inlineStr">
        <is>
          <t>Battery cost overruns or weak Luce orders would validate the bear EV thesis</t>
        </is>
      </c>
    </row>
    <row r="29" ht="13" customHeight="1">
      <c r="B29" s="21" t="inlineStr">
        <is>
          <t>▪  China demand worsens</t>
        </is>
      </c>
      <c r="C29" s="22" t="n"/>
      <c r="D29" s="10" t="inlineStr">
        <is>
          <t>~10% exposure, but sentiment-driven selloffs hit the whole luxury complex</t>
        </is>
      </c>
    </row>
    <row r="30" ht="13" customHeight="1">
      <c r="B30" s="23" t="inlineStr">
        <is>
          <t>▪  Recession risk</t>
        </is>
      </c>
      <c r="D30" s="13" t="inlineStr">
        <is>
          <t>Luxury demand tracks high-net-worth wealth — a market crash is a demand hit</t>
        </is>
      </c>
    </row>
    <row r="32">
      <c r="B32" s="24" t="inlineStr">
        <is>
          <t>Price as of April 2026. FY2025A financials released Feb 10, 2026. All figures EUR millions unless noted. Every number on this page is formula-linked to the model — change inputs on the Assumptions tab only.</t>
        </is>
      </c>
    </row>
    <row r="33" ht="4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</row>
    <row r="34">
      <c r="B34" s="25" t="inlineStr">
        <is>
          <t>Francisco Rodriguez  |  Financial Modeling Portfolio  |  github.com/Azyo1</t>
        </is>
      </c>
    </row>
  </sheetData>
  <mergeCells count="41">
    <mergeCell ref="B11:D11"/>
    <mergeCell ref="B9:E9"/>
    <mergeCell ref="D27:I27"/>
    <mergeCell ref="B14:D14"/>
    <mergeCell ref="B7:C7"/>
    <mergeCell ref="F9:I9"/>
    <mergeCell ref="B17:D17"/>
    <mergeCell ref="B13:D13"/>
    <mergeCell ref="B22:C22"/>
    <mergeCell ref="F17:H17"/>
    <mergeCell ref="F7:G7"/>
    <mergeCell ref="B10:D10"/>
    <mergeCell ref="B21:C21"/>
    <mergeCell ref="D28:I28"/>
    <mergeCell ref="F13:H13"/>
    <mergeCell ref="B23:C23"/>
    <mergeCell ref="B15:D15"/>
    <mergeCell ref="B32:I32"/>
    <mergeCell ref="D30:I30"/>
    <mergeCell ref="D24:I24"/>
    <mergeCell ref="B5:J5"/>
    <mergeCell ref="D7:E7"/>
    <mergeCell ref="F14:H14"/>
    <mergeCell ref="D29:I29"/>
    <mergeCell ref="H7:I7"/>
    <mergeCell ref="D23:I23"/>
    <mergeCell ref="B19:I19"/>
    <mergeCell ref="B4:J4"/>
    <mergeCell ref="F11:H11"/>
    <mergeCell ref="B16:D16"/>
    <mergeCell ref="F10:H10"/>
    <mergeCell ref="F16:H16"/>
    <mergeCell ref="B3:J3"/>
    <mergeCell ref="B24:C24"/>
    <mergeCell ref="D22:I22"/>
    <mergeCell ref="B20:I20"/>
    <mergeCell ref="F12:H12"/>
    <mergeCell ref="B12:D12"/>
    <mergeCell ref="F15:H15"/>
    <mergeCell ref="D21:I21"/>
    <mergeCell ref="B26:I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4"/>
  <sheetViews>
    <sheetView showGridLines="0" workbookViewId="0">
      <selection activeCell="A1" sqref="A1"/>
    </sheetView>
  </sheetViews>
  <sheetFormatPr baseColWidth="8" defaultRowHeight="15"/>
  <cols>
    <col width="1.5" customWidth="1" min="1" max="1"/>
    <col width="4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.5" customWidth="1" min="11" max="1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20" customHeight="1">
      <c r="B2" s="26" t="inlineStr">
        <is>
          <t>Ferrari N.V. — Model Assumptions  (ALL HARDCODED INPUTS = BLUE CELLS)  ·  €M unless noted</t>
        </is>
      </c>
    </row>
    <row r="3">
      <c r="B3" s="27" t="inlineStr">
        <is>
          <t>Metric</t>
        </is>
      </c>
      <c r="C3" s="28" t="inlineStr">
        <is>
          <t>FY2023A</t>
        </is>
      </c>
      <c r="D3" s="28" t="inlineStr">
        <is>
          <t>FY2024A</t>
        </is>
      </c>
      <c r="E3" s="28" t="inlineStr">
        <is>
          <t>FY2025A</t>
        </is>
      </c>
      <c r="F3" s="29" t="inlineStr">
        <is>
          <t>FY2026E</t>
        </is>
      </c>
      <c r="G3" s="29" t="inlineStr">
        <is>
          <t>FY2027E</t>
        </is>
      </c>
      <c r="H3" s="29" t="inlineStr">
        <is>
          <t>FY2028E</t>
        </is>
      </c>
      <c r="I3" s="29" t="inlineStr">
        <is>
          <t>FY2029E</t>
        </is>
      </c>
      <c r="J3" s="29" t="inlineStr">
        <is>
          <t>FY2030E</t>
        </is>
      </c>
    </row>
    <row r="4">
      <c r="B4" s="20" t="inlineStr">
        <is>
          <t>UNIT ECONOMICS — VOLUME &amp; PRICING</t>
        </is>
      </c>
    </row>
    <row r="5">
      <c r="B5" s="30" t="inlineStr">
        <is>
          <t>Total Deliveries (units)</t>
        </is>
      </c>
      <c r="C5" s="31" t="n">
        <v>13663</v>
      </c>
      <c r="D5" s="31" t="n">
        <v>13752</v>
      </c>
      <c r="E5" s="31" t="n">
        <v>13640</v>
      </c>
      <c r="F5" s="32">
        <f>ROUND(E5*(1+F6),0)</f>
        <v/>
      </c>
      <c r="G5" s="32">
        <f>ROUND(F5*(1+G6),0)</f>
        <v/>
      </c>
      <c r="H5" s="32">
        <f>ROUND(G5*(1+H6),0)</f>
        <v/>
      </c>
      <c r="I5" s="32">
        <f>ROUND(H5*(1+I6),0)</f>
        <v/>
      </c>
      <c r="J5" s="32">
        <f>ROUND(I5*(1+J6),0)</f>
        <v/>
      </c>
    </row>
    <row r="6">
      <c r="B6" s="33" t="inlineStr">
        <is>
          <t xml:space="preserve">  Volume Growth %</t>
        </is>
      </c>
      <c r="C6" s="34" t="inlineStr">
        <is>
          <t>—</t>
        </is>
      </c>
      <c r="D6" s="35">
        <f>D5/C5-1</f>
        <v/>
      </c>
      <c r="E6" s="35">
        <f>E5/D5-1</f>
        <v/>
      </c>
      <c r="F6" s="36" t="n">
        <v>0.03</v>
      </c>
      <c r="G6" s="36" t="n">
        <v>0.035</v>
      </c>
      <c r="H6" s="36" t="n">
        <v>0.03</v>
      </c>
      <c r="I6" s="36" t="n">
        <v>0.03</v>
      </c>
      <c r="J6" s="36" t="n">
        <v>0.03</v>
      </c>
    </row>
    <row r="7">
      <c r="B7" s="33" t="inlineStr">
        <is>
          <t xml:space="preserve">  ASP Growth % (Cars &amp; Spare Parts)</t>
        </is>
      </c>
      <c r="C7" s="34" t="inlineStr">
        <is>
          <t>—</t>
        </is>
      </c>
      <c r="D7" s="34" t="inlineStr">
        <is>
          <t>—</t>
        </is>
      </c>
      <c r="E7" s="34" t="inlineStr">
        <is>
          <t>—</t>
        </is>
      </c>
      <c r="F7" s="36" t="n">
        <v>0.06</v>
      </c>
      <c r="G7" s="36" t="n">
        <v>0.07000000000000001</v>
      </c>
      <c r="H7" s="36" t="n">
        <v>0.055</v>
      </c>
      <c r="I7" s="36" t="n">
        <v>0.05</v>
      </c>
      <c r="J7" s="36" t="n">
        <v>0.05</v>
      </c>
    </row>
    <row r="8">
      <c r="B8" s="37" t="inlineStr">
        <is>
          <t>Cars &amp; Spare Parts Revenue</t>
        </is>
      </c>
      <c r="C8" s="31" t="n">
        <v>4732</v>
      </c>
      <c r="D8" s="31" t="n">
        <v>5349</v>
      </c>
      <c r="E8" s="31" t="n">
        <v>5801</v>
      </c>
      <c r="F8" s="32">
        <f>E8*(1+F6)*(1+F7)</f>
        <v/>
      </c>
      <c r="G8" s="32">
        <f>F8*(1+G6)*(1+G7)</f>
        <v/>
      </c>
      <c r="H8" s="32">
        <f>G8*(1+H6)*(1+H7)</f>
        <v/>
      </c>
      <c r="I8" s="32">
        <f>H8*(1+I6)*(1+I7)</f>
        <v/>
      </c>
      <c r="J8" s="32">
        <f>I8*(1+J6)*(1+J7)</f>
        <v/>
      </c>
    </row>
    <row r="9">
      <c r="B9" s="38" t="inlineStr">
        <is>
          <t>Engines Revenue</t>
        </is>
      </c>
      <c r="C9" s="31" t="n">
        <v>519</v>
      </c>
      <c r="D9" s="31" t="n">
        <v>480</v>
      </c>
      <c r="E9" s="31" t="n">
        <v>460</v>
      </c>
      <c r="F9" s="31" t="n">
        <v>450</v>
      </c>
      <c r="G9" s="31" t="n">
        <v>430</v>
      </c>
      <c r="H9" s="31" t="n">
        <v>410</v>
      </c>
      <c r="I9" s="31" t="n">
        <v>390</v>
      </c>
      <c r="J9" s="31" t="n">
        <v>370</v>
      </c>
    </row>
    <row r="10">
      <c r="B10" s="38" t="inlineStr">
        <is>
          <t>Sponsorship, Commercial &amp; Brand</t>
        </is>
      </c>
      <c r="C10" s="31" t="n">
        <v>479</v>
      </c>
      <c r="D10" s="31" t="n">
        <v>556</v>
      </c>
      <c r="E10" s="31" t="n">
        <v>620</v>
      </c>
      <c r="F10" s="31" t="n">
        <v>660</v>
      </c>
      <c r="G10" s="31" t="n">
        <v>710</v>
      </c>
      <c r="H10" s="31" t="n">
        <v>760</v>
      </c>
      <c r="I10" s="31" t="n">
        <v>810</v>
      </c>
      <c r="J10" s="31" t="n">
        <v>860</v>
      </c>
    </row>
    <row r="11">
      <c r="B11" s="38" t="inlineStr">
        <is>
          <t>Financial Services Revenue</t>
        </is>
      </c>
      <c r="C11" s="31" t="n">
        <v>240</v>
      </c>
      <c r="D11" s="31" t="n">
        <v>292</v>
      </c>
      <c r="E11" s="31" t="n">
        <v>265</v>
      </c>
      <c r="F11" s="31" t="n">
        <v>290</v>
      </c>
      <c r="G11" s="31" t="n">
        <v>315</v>
      </c>
      <c r="H11" s="31" t="n">
        <v>340</v>
      </c>
      <c r="I11" s="31" t="n">
        <v>365</v>
      </c>
      <c r="J11" s="31" t="n">
        <v>395</v>
      </c>
    </row>
    <row r="12">
      <c r="B12" s="37" t="inlineStr">
        <is>
          <t>Total Revenue</t>
        </is>
      </c>
      <c r="C12" s="39">
        <f>C8+C9+C10+C11</f>
        <v/>
      </c>
      <c r="D12" s="39">
        <f>D8+D9+D10+D11</f>
        <v/>
      </c>
      <c r="E12" s="39">
        <f>E8+E9+E10+E11</f>
        <v/>
      </c>
      <c r="F12" s="39">
        <f>F8+F9+F10+F11</f>
        <v/>
      </c>
      <c r="G12" s="39">
        <f>G8+G9+G10+G11</f>
        <v/>
      </c>
      <c r="H12" s="39">
        <f>H8+H9+H10+H11</f>
        <v/>
      </c>
      <c r="I12" s="39">
        <f>I8+I9+I10+I11</f>
        <v/>
      </c>
      <c r="J12" s="39">
        <f>J8+J9+J10+J11</f>
        <v/>
      </c>
    </row>
    <row r="13">
      <c r="B13" s="33" t="inlineStr">
        <is>
          <t xml:space="preserve">  Revenue Growth %</t>
        </is>
      </c>
      <c r="D13" s="35">
        <f>D12/C12-1</f>
        <v/>
      </c>
      <c r="E13" s="35">
        <f>E12/D12-1</f>
        <v/>
      </c>
      <c r="F13" s="35">
        <f>F12/E12-1</f>
        <v/>
      </c>
      <c r="G13" s="35">
        <f>G12/F12-1</f>
        <v/>
      </c>
      <c r="H13" s="35">
        <f>H12/G12-1</f>
        <v/>
      </c>
      <c r="I13" s="35">
        <f>I12/H12-1</f>
        <v/>
      </c>
      <c r="J13" s="35">
        <f>J12/I12-1</f>
        <v/>
      </c>
    </row>
    <row r="14">
      <c r="B14" s="20" t="inlineStr">
        <is>
          <t>P&amp;L &amp; CASH FLOW  (historical = reported; FY2025A per Feb 10 2026 release)</t>
        </is>
      </c>
    </row>
    <row r="15" ht="13" customHeight="1">
      <c r="B15" s="40" t="inlineStr">
        <is>
          <t>Gross Margin %</t>
        </is>
      </c>
      <c r="C15" s="36" t="n">
        <v>0.495</v>
      </c>
      <c r="D15" s="36" t="n">
        <v>0.501</v>
      </c>
      <c r="E15" s="36" t="n">
        <v>0.505</v>
      </c>
      <c r="F15" s="36" t="n">
        <v>0.52</v>
      </c>
      <c r="G15" s="36" t="n">
        <v>0.52</v>
      </c>
      <c r="H15" s="36" t="n">
        <v>0.52</v>
      </c>
      <c r="I15" s="36" t="n">
        <v>0.52</v>
      </c>
      <c r="J15" s="36" t="n">
        <v>0.52</v>
      </c>
    </row>
    <row r="16" ht="13" customHeight="1">
      <c r="B16" s="38" t="inlineStr">
        <is>
          <t>Reported EBITDA (€M)</t>
        </is>
      </c>
      <c r="C16" s="31" t="n">
        <v>2279</v>
      </c>
      <c r="D16" s="31" t="n">
        <v>2555</v>
      </c>
      <c r="E16" s="31" t="n">
        <v>2772</v>
      </c>
      <c r="F16" s="34" t="inlineStr">
        <is>
          <t>—</t>
        </is>
      </c>
      <c r="G16" s="34" t="inlineStr">
        <is>
          <t>—</t>
        </is>
      </c>
      <c r="H16" s="34" t="inlineStr">
        <is>
          <t>—</t>
        </is>
      </c>
      <c r="I16" s="34" t="inlineStr">
        <is>
          <t>—</t>
        </is>
      </c>
      <c r="J16" s="34" t="inlineStr">
        <is>
          <t>—</t>
        </is>
      </c>
    </row>
    <row r="17" ht="13" customHeight="1">
      <c r="B17" s="40" t="inlineStr">
        <is>
          <t>EBITDA Margin % (forecast)</t>
        </is>
      </c>
      <c r="C17" s="41" t="inlineStr">
        <is>
          <t>—</t>
        </is>
      </c>
      <c r="D17" s="41" t="inlineStr">
        <is>
          <t>—</t>
        </is>
      </c>
      <c r="E17" s="41" t="inlineStr">
        <is>
          <t>—</t>
        </is>
      </c>
      <c r="F17" s="36" t="n">
        <v>0.39</v>
      </c>
      <c r="G17" s="36" t="n">
        <v>0.4</v>
      </c>
      <c r="H17" s="36" t="n">
        <v>0.415</v>
      </c>
      <c r="I17" s="36" t="n">
        <v>0.425</v>
      </c>
      <c r="J17" s="36" t="n">
        <v>0.435</v>
      </c>
    </row>
    <row r="18" ht="13" customHeight="1">
      <c r="B18" s="38" t="inlineStr">
        <is>
          <t>D&amp;A (€M)</t>
        </is>
      </c>
      <c r="C18" s="31" t="n">
        <v>661</v>
      </c>
      <c r="D18" s="31" t="n">
        <v>667</v>
      </c>
      <c r="E18" s="31" t="n">
        <v>662</v>
      </c>
      <c r="F18" s="31" t="n">
        <v>700</v>
      </c>
      <c r="G18" s="31" t="n">
        <v>740</v>
      </c>
      <c r="H18" s="31" t="n">
        <v>780</v>
      </c>
      <c r="I18" s="31" t="n">
        <v>810</v>
      </c>
      <c r="J18" s="31" t="n">
        <v>840</v>
      </c>
    </row>
    <row r="19" ht="13" customHeight="1">
      <c r="B19" s="40" t="inlineStr">
        <is>
          <t>Capex (€M)</t>
        </is>
      </c>
      <c r="C19" s="31" t="n">
        <v>749</v>
      </c>
      <c r="D19" s="31" t="n">
        <v>989</v>
      </c>
      <c r="E19" s="31" t="n">
        <v>943</v>
      </c>
      <c r="F19" s="31" t="n">
        <v>870</v>
      </c>
      <c r="G19" s="31" t="n">
        <v>820</v>
      </c>
      <c r="H19" s="31" t="n">
        <v>760</v>
      </c>
      <c r="I19" s="31" t="n">
        <v>700</v>
      </c>
      <c r="J19" s="31" t="n">
        <v>650</v>
      </c>
    </row>
    <row r="20" ht="13" customHeight="1">
      <c r="B20" s="38" t="inlineStr">
        <is>
          <t>Δ Working Capital (€M)</t>
        </is>
      </c>
      <c r="C20" s="31" t="n">
        <v>95</v>
      </c>
      <c r="D20" s="31" t="n">
        <v>90</v>
      </c>
      <c r="E20" s="31" t="n">
        <v>90</v>
      </c>
      <c r="F20" s="31" t="n">
        <v>100</v>
      </c>
      <c r="G20" s="31" t="n">
        <v>100</v>
      </c>
      <c r="H20" s="31" t="n">
        <v>80</v>
      </c>
      <c r="I20" s="31" t="n">
        <v>80</v>
      </c>
      <c r="J20" s="31" t="n">
        <v>80</v>
      </c>
    </row>
    <row r="21" ht="13" customHeight="1">
      <c r="B21" s="40" t="inlineStr">
        <is>
          <t>Tax Rate %</t>
        </is>
      </c>
      <c r="C21" s="36" t="n">
        <v>0.245</v>
      </c>
      <c r="D21" s="36" t="n">
        <v>0.251</v>
      </c>
      <c r="E21" s="36" t="n">
        <v>0.25</v>
      </c>
      <c r="F21" s="36" t="n">
        <v>0.25</v>
      </c>
      <c r="G21" s="36" t="n">
        <v>0.25</v>
      </c>
      <c r="H21" s="36" t="n">
        <v>0.25</v>
      </c>
      <c r="I21" s="36" t="n">
        <v>0.25</v>
      </c>
      <c r="J21" s="36" t="n">
        <v>0.25</v>
      </c>
    </row>
    <row r="22" ht="13" customHeight="1">
      <c r="B22" s="38" t="inlineStr">
        <is>
          <t>Reported Net Profit (€M)</t>
        </is>
      </c>
      <c r="C22" s="31" t="n">
        <v>1257</v>
      </c>
      <c r="D22" s="31" t="n">
        <v>1526</v>
      </c>
      <c r="E22" s="31" t="n">
        <v>1600</v>
      </c>
      <c r="F22" s="34" t="inlineStr">
        <is>
          <t>—</t>
        </is>
      </c>
      <c r="G22" s="34" t="inlineStr">
        <is>
          <t>—</t>
        </is>
      </c>
      <c r="H22" s="34" t="inlineStr">
        <is>
          <t>—</t>
        </is>
      </c>
      <c r="I22" s="34" t="inlineStr">
        <is>
          <t>—</t>
        </is>
      </c>
      <c r="J22" s="34" t="inlineStr">
        <is>
          <t>—</t>
        </is>
      </c>
    </row>
    <row r="23" ht="13" customHeight="1">
      <c r="B23" s="40" t="inlineStr">
        <is>
          <t>Reported Diluted EPS (€)</t>
        </is>
      </c>
      <c r="C23" s="42" t="n">
        <v>6.9</v>
      </c>
      <c r="D23" s="42" t="n">
        <v>8.460000000000001</v>
      </c>
      <c r="E23" s="42" t="n">
        <v>8.960000000000001</v>
      </c>
      <c r="F23" s="41" t="inlineStr">
        <is>
          <t>—</t>
        </is>
      </c>
      <c r="G23" s="41" t="inlineStr">
        <is>
          <t>—</t>
        </is>
      </c>
      <c r="H23" s="41" t="inlineStr">
        <is>
          <t>—</t>
        </is>
      </c>
      <c r="I23" s="41" t="inlineStr">
        <is>
          <t>—</t>
        </is>
      </c>
      <c r="J23" s="41" t="inlineStr">
        <is>
          <t>—</t>
        </is>
      </c>
    </row>
    <row r="25">
      <c r="B25" s="20" t="inlineStr">
        <is>
          <t>MARKET DATA &amp; BALANCE SHEET</t>
        </is>
      </c>
    </row>
    <row r="26" ht="13" customHeight="1">
      <c r="B26" s="38" t="inlineStr">
        <is>
          <t>Current Share Price (USD)</t>
        </is>
      </c>
      <c r="C26" s="43" t="n">
        <v>351.95</v>
      </c>
      <c r="D26" s="44" t="inlineStr">
        <is>
          <t>NYSE: RACE, April 2026</t>
        </is>
      </c>
    </row>
    <row r="27" ht="13" customHeight="1">
      <c r="B27" s="38" t="inlineStr">
        <is>
          <t>52-Week High (USD)</t>
        </is>
      </c>
      <c r="C27" s="43" t="n">
        <v>519.1</v>
      </c>
    </row>
    <row r="28" ht="13" customHeight="1">
      <c r="B28" s="38" t="inlineStr">
        <is>
          <t>52-Week Low (USD)</t>
        </is>
      </c>
      <c r="C28" s="43" t="n">
        <v>328</v>
      </c>
    </row>
    <row r="29" ht="13" customHeight="1">
      <c r="B29" s="38" t="inlineStr">
        <is>
          <t>EUR/USD</t>
        </is>
      </c>
      <c r="C29" s="45" t="n">
        <v>1.18</v>
      </c>
    </row>
    <row r="30" ht="13" customHeight="1">
      <c r="B30" s="38" t="inlineStr">
        <is>
          <t>Diluted Shares (M)</t>
        </is>
      </c>
      <c r="C30" s="46" t="n">
        <v>178.3</v>
      </c>
      <c r="D30" s="44" t="inlineStr">
        <is>
          <t>FY2025 weighted-average diluted (178,321k)</t>
        </is>
      </c>
    </row>
    <row r="31" ht="13" customHeight="1">
      <c r="B31" s="38" t="inlineStr">
        <is>
          <t>Net Industrial Debt (€M)</t>
        </is>
      </c>
      <c r="C31" s="31" t="n">
        <v>32</v>
      </c>
      <c r="D31" s="44" t="inlineStr">
        <is>
          <t>Dec 31, 2025 (was €180M at Dec 31, 2024)</t>
        </is>
      </c>
    </row>
    <row r="32" ht="13" customHeight="1">
      <c r="B32" s="38" t="inlineStr">
        <is>
          <t>Analyst Consensus PT (USD)</t>
        </is>
      </c>
      <c r="C32" s="43" t="n">
        <v>495</v>
      </c>
      <c r="D32" s="44" t="inlineStr">
        <is>
          <t>Strong Buy, April 2026</t>
        </is>
      </c>
    </row>
    <row r="33">
      <c r="B33" s="20" t="inlineStr">
        <is>
          <t>WACC &amp; TERMINAL VALUE</t>
        </is>
      </c>
    </row>
    <row r="34" ht="13" customHeight="1">
      <c r="B34" s="38" t="inlineStr">
        <is>
          <t>Risk-Free Rate (10-yr UST)</t>
        </is>
      </c>
      <c r="C34" s="47" t="n">
        <v>0.043</v>
      </c>
    </row>
    <row r="35" ht="13" customHeight="1">
      <c r="B35" s="38" t="inlineStr">
        <is>
          <t>Equity Risk Premium</t>
        </is>
      </c>
      <c r="C35" s="47" t="n">
        <v>0.043</v>
      </c>
    </row>
    <row r="36" ht="13" customHeight="1">
      <c r="B36" s="38" t="inlineStr">
        <is>
          <t>Levered Beta</t>
        </is>
      </c>
      <c r="C36" s="45" t="n">
        <v>0.75</v>
      </c>
      <c r="D36" s="44" t="inlineStr">
        <is>
          <t>Luxury peers: Hermès ~0.60, LVMH ~0.80</t>
        </is>
      </c>
    </row>
    <row r="37" ht="13" customHeight="1">
      <c r="B37" s="38" t="inlineStr">
        <is>
          <t>Pre-Tax Cost of Debt</t>
        </is>
      </c>
      <c r="C37" s="47" t="n">
        <v>0.04</v>
      </c>
    </row>
    <row r="38" ht="13" customHeight="1">
      <c r="B38" s="38" t="inlineStr">
        <is>
          <t>Tax Rate (debt shield)</t>
        </is>
      </c>
      <c r="C38" s="47" t="n">
        <v>0.25</v>
      </c>
    </row>
    <row r="39" ht="13" customHeight="1">
      <c r="B39" s="38" t="inlineStr">
        <is>
          <t>Debt / Total Capital</t>
        </is>
      </c>
      <c r="C39" s="47" t="n">
        <v>0.025</v>
      </c>
    </row>
    <row r="40" ht="13" customHeight="1">
      <c r="B40" s="38" t="inlineStr">
        <is>
          <t>Terminal Growth Rate</t>
        </is>
      </c>
      <c r="C40" s="47" t="n">
        <v>0.03</v>
      </c>
    </row>
    <row r="41" ht="13" customHeight="1">
      <c r="B41" s="38" t="inlineStr">
        <is>
          <t>First Discount Period (mid-year)</t>
        </is>
      </c>
      <c r="C41" s="48" t="n">
        <v>0.5</v>
      </c>
    </row>
    <row r="42">
      <c r="B42" s="20" t="inlineStr">
        <is>
          <t>BLENDED PRICE TARGET &amp; RATING</t>
        </is>
      </c>
    </row>
    <row r="43" ht="13" customHeight="1">
      <c r="B43" s="38" t="inlineStr">
        <is>
          <t>DCF Weight</t>
        </is>
      </c>
      <c r="C43" s="36" t="n">
        <v>0.4</v>
      </c>
    </row>
    <row r="44" ht="13" customHeight="1">
      <c r="B44" s="38" t="inlineStr">
        <is>
          <t>Comps Weight</t>
        </is>
      </c>
      <c r="C44" s="35">
        <f>1-C43</f>
        <v/>
      </c>
      <c r="D44" s="44" t="inlineStr">
        <is>
          <t>Formula</t>
        </is>
      </c>
    </row>
    <row r="45" ht="13" customHeight="1">
      <c r="B45" s="38" t="inlineStr">
        <is>
          <t>Target EV / FY2026E EBITDA (Comps)</t>
        </is>
      </c>
      <c r="C45" s="49" t="n">
        <v>27</v>
      </c>
      <c r="D45" s="44" t="inlineStr">
        <is>
          <t>Mid-luxury re-rating</t>
        </is>
      </c>
    </row>
    <row r="46" ht="13" customHeight="1">
      <c r="B46" s="38" t="inlineStr">
        <is>
          <t>Round PT to nearest ($)</t>
        </is>
      </c>
      <c r="C46" s="50" t="n">
        <v>5</v>
      </c>
    </row>
    <row r="47" ht="13" customHeight="1">
      <c r="B47" s="38" t="inlineStr">
        <is>
          <t>Overweight if upside ≥</t>
        </is>
      </c>
      <c r="C47" s="36" t="n">
        <v>0.1</v>
      </c>
    </row>
    <row r="48" ht="13" customHeight="1">
      <c r="B48" s="38" t="inlineStr">
        <is>
          <t>Underweight if upside ≤</t>
        </is>
      </c>
      <c r="C48" s="36" t="n">
        <v>-0.1</v>
      </c>
      <c r="D48" s="44" t="inlineStr">
        <is>
          <t>Otherwise Equal-Weight</t>
        </is>
      </c>
    </row>
    <row r="49" ht="13" customHeight="1">
      <c r="B49" s="38" t="inlineStr">
        <is>
          <t>Sensitivity Step — WACC</t>
        </is>
      </c>
      <c r="C49" s="47" t="n">
        <v>0.005</v>
      </c>
    </row>
    <row r="50" ht="13" customHeight="1">
      <c r="B50" s="38" t="inlineStr">
        <is>
          <t>Sensitivity Step — Terminal Growth</t>
        </is>
      </c>
      <c r="C50" s="47" t="n">
        <v>0.005</v>
      </c>
    </row>
    <row r="51" ht="13" customHeight="1">
      <c r="B51" s="38" t="inlineStr">
        <is>
          <t>Sensitivity Step — EV/EBITDA</t>
        </is>
      </c>
      <c r="C51" s="49" t="n">
        <v>3</v>
      </c>
    </row>
    <row r="52" ht="13" customHeight="1">
      <c r="B52" s="38" t="inlineStr">
        <is>
          <t>Sensitivity Step — FY2026E EBITDA</t>
        </is>
      </c>
      <c r="C52" s="36" t="n">
        <v>0.05</v>
      </c>
      <c r="D52" s="44" t="inlineStr">
        <is>
          <t>± % of base</t>
        </is>
      </c>
    </row>
    <row r="54">
      <c r="B54" s="20" t="inlineStr">
        <is>
          <t>TRADING COMPS  (EV / NTM EBITDA, P/E NTM — April 2026)</t>
        </is>
      </c>
    </row>
    <row r="55">
      <c r="B55" s="9" t="inlineStr">
        <is>
          <t>Company</t>
        </is>
      </c>
      <c r="C55" s="51" t="inlineStr">
        <is>
          <t>EV/EBITDA</t>
        </is>
      </c>
      <c r="D55" s="51" t="inlineStr">
        <is>
          <t>P/E</t>
        </is>
      </c>
      <c r="E55" s="51" t="inlineStr">
        <is>
          <t>Sector</t>
        </is>
      </c>
    </row>
    <row r="56">
      <c r="B56" s="38" t="inlineStr">
        <is>
          <t>Hermès International</t>
        </is>
      </c>
      <c r="C56" s="49" t="n">
        <v>38</v>
      </c>
      <c r="D56" s="52" t="n">
        <v>55</v>
      </c>
      <c r="E56" s="53" t="inlineStr">
        <is>
          <t>Luxury Goods</t>
        </is>
      </c>
    </row>
    <row r="57">
      <c r="B57" s="38" t="inlineStr">
        <is>
          <t>LVMH</t>
        </is>
      </c>
      <c r="C57" s="49" t="n">
        <v>14.5</v>
      </c>
      <c r="D57" s="52" t="n">
        <v>21</v>
      </c>
      <c r="E57" s="53" t="inlineStr">
        <is>
          <t>Diversified Luxury</t>
        </is>
      </c>
    </row>
    <row r="58">
      <c r="B58" s="38" t="inlineStr">
        <is>
          <t>Moncler</t>
        </is>
      </c>
      <c r="C58" s="49" t="n">
        <v>18</v>
      </c>
      <c r="D58" s="52" t="n">
        <v>27</v>
      </c>
      <c r="E58" s="53" t="inlineStr">
        <is>
          <t>Luxury Apparel</t>
        </is>
      </c>
    </row>
    <row r="59">
      <c r="B59" s="38" t="inlineStr">
        <is>
          <t>Porsche AG</t>
        </is>
      </c>
      <c r="C59" s="49" t="n">
        <v>13.5</v>
      </c>
      <c r="D59" s="52" t="n">
        <v>22</v>
      </c>
      <c r="E59" s="53" t="inlineStr">
        <is>
          <t>Luxury Auto</t>
        </is>
      </c>
    </row>
    <row r="60">
      <c r="B60" s="38" t="inlineStr">
        <is>
          <t>Mercedes-Benz</t>
        </is>
      </c>
      <c r="C60" s="49" t="n">
        <v>5.5</v>
      </c>
      <c r="D60" s="52" t="n">
        <v>10</v>
      </c>
      <c r="E60" s="53" t="inlineStr">
        <is>
          <t>Premium Auto</t>
        </is>
      </c>
    </row>
    <row r="61">
      <c r="B61" s="38" t="inlineStr">
        <is>
          <t>BMW</t>
        </is>
      </c>
      <c r="C61" s="49" t="n">
        <v>5</v>
      </c>
      <c r="D61" s="52" t="n">
        <v>9</v>
      </c>
      <c r="E61" s="53" t="inlineStr">
        <is>
          <t>Premium Auto</t>
        </is>
      </c>
    </row>
    <row r="63">
      <c r="B63" s="20" t="inlineStr">
        <is>
          <t>SCENARIO PARAMETERS  (adjustments vs. base, applied FY2026E–FY2030E)</t>
        </is>
      </c>
    </row>
    <row r="64">
      <c r="B64" s="27" t="inlineStr">
        <is>
          <t>Parameter</t>
        </is>
      </c>
      <c r="C64" s="54" t="inlineStr">
        <is>
          <t>Bear</t>
        </is>
      </c>
      <c r="D64" s="29" t="inlineStr">
        <is>
          <t>Base</t>
        </is>
      </c>
      <c r="E64" s="55" t="inlineStr">
        <is>
          <t>Bull</t>
        </is>
      </c>
    </row>
    <row r="65">
      <c r="B65" s="38" t="inlineStr">
        <is>
          <t>Volume growth adj. (pp)</t>
        </is>
      </c>
      <c r="C65" s="36" t="n">
        <v>-0.02</v>
      </c>
      <c r="D65" s="36" t="n">
        <v>0</v>
      </c>
      <c r="E65" s="36" t="n">
        <v>0.01</v>
      </c>
    </row>
    <row r="66">
      <c r="B66" s="38" t="inlineStr">
        <is>
          <t>ASP growth adj. (pp)</t>
        </is>
      </c>
      <c r="C66" s="36" t="n">
        <v>-0.025</v>
      </c>
      <c r="D66" s="36" t="n">
        <v>0</v>
      </c>
      <c r="E66" s="36" t="n">
        <v>0.025</v>
      </c>
    </row>
    <row r="67">
      <c r="B67" s="38" t="inlineStr">
        <is>
          <t>EBITDA margin adj. (pp)</t>
        </is>
      </c>
      <c r="C67" s="36" t="n">
        <v>-0.06</v>
      </c>
      <c r="D67" s="36" t="n">
        <v>0</v>
      </c>
      <c r="E67" s="36" t="n">
        <v>0.005</v>
      </c>
    </row>
    <row r="68">
      <c r="B68" s="38" t="inlineStr">
        <is>
          <t>WACC adj. (pp)</t>
        </is>
      </c>
      <c r="C68" s="47" t="n">
        <v>0.02</v>
      </c>
      <c r="D68" s="47" t="n">
        <v>0</v>
      </c>
      <c r="E68" s="47" t="n">
        <v>-0.005</v>
      </c>
    </row>
    <row r="69">
      <c r="B69" s="38" t="inlineStr">
        <is>
          <t>Terminal growth</t>
        </is>
      </c>
      <c r="C69" s="47" t="n">
        <v>0.025</v>
      </c>
      <c r="D69" s="56">
        <f>$C$40</f>
        <v/>
      </c>
      <c r="E69" s="47" t="n">
        <v>0.035</v>
      </c>
    </row>
    <row r="70">
      <c r="B70" s="38" t="inlineStr">
        <is>
          <t>Comps EV/EBITDA multiple</t>
        </is>
      </c>
      <c r="C70" s="49" t="n">
        <v>15</v>
      </c>
      <c r="D70" s="57">
        <f>$C$45</f>
        <v/>
      </c>
      <c r="E70" s="49" t="n">
        <v>32</v>
      </c>
    </row>
    <row r="72" ht="30" customHeight="1">
      <c r="B72" s="58" t="inlineStr">
        <is>
          <t>Sources: Ferrari N.V. FY2023–FY2025 annual results (FY2025 release Feb 10 2026); 2026 guidance ~€7.5B revenue, EBITDA margin ≥39%, diluted EPS ≥€9.45. Segment revenue split for FY2025A is an estimate summing to reported €7,146M. Peer multiples are April 2026 approximations. Forecasts are analyst estimates.</t>
        </is>
      </c>
    </row>
    <row r="73" ht="4" customHeight="1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</row>
    <row r="74">
      <c r="B74" s="25" t="inlineStr">
        <is>
          <t>Francisco Rodriguez  |  Financial Modeling Portfolio  |  github.com/Azyo1</t>
        </is>
      </c>
    </row>
  </sheetData>
  <mergeCells count="9">
    <mergeCell ref="B33:J33"/>
    <mergeCell ref="B25:J25"/>
    <mergeCell ref="B72:J72"/>
    <mergeCell ref="B42:J42"/>
    <mergeCell ref="B14:J14"/>
    <mergeCell ref="B54:J54"/>
    <mergeCell ref="B63:J63"/>
    <mergeCell ref="B4:J4"/>
    <mergeCell ref="B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2"/>
  <sheetViews>
    <sheetView showGridLines="0" workbookViewId="0">
      <selection activeCell="A1" sqref="A1"/>
    </sheetView>
  </sheetViews>
  <sheetFormatPr baseColWidth="8" defaultRowHeight="15"/>
  <cols>
    <col width="1.5" customWidth="1" min="1" max="1"/>
    <col width="3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.5" customWidth="1" min="11" max="1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20" customHeight="1">
      <c r="B2" s="26" t="inlineStr">
        <is>
          <t>Ferrari N.V. — Income Statement &amp; Free Cash Flow  (€M)</t>
        </is>
      </c>
    </row>
    <row r="3">
      <c r="B3" s="27" t="inlineStr"/>
      <c r="C3" s="28" t="inlineStr">
        <is>
          <t>FY2023A</t>
        </is>
      </c>
      <c r="D3" s="28" t="inlineStr">
        <is>
          <t>FY2024A</t>
        </is>
      </c>
      <c r="E3" s="28" t="inlineStr">
        <is>
          <t>FY2025A</t>
        </is>
      </c>
      <c r="F3" s="29" t="inlineStr">
        <is>
          <t>FY2026E</t>
        </is>
      </c>
      <c r="G3" s="29" t="inlineStr">
        <is>
          <t>FY2027E</t>
        </is>
      </c>
      <c r="H3" s="29" t="inlineStr">
        <is>
          <t>FY2028E</t>
        </is>
      </c>
      <c r="I3" s="29" t="inlineStr">
        <is>
          <t>FY2029E</t>
        </is>
      </c>
      <c r="J3" s="29" t="inlineStr">
        <is>
          <t>FY2030E</t>
        </is>
      </c>
    </row>
    <row r="4">
      <c r="B4" s="20" t="inlineStr">
        <is>
          <t>REVENUE BREAKDOWN</t>
        </is>
      </c>
    </row>
    <row r="5">
      <c r="B5" s="37" t="inlineStr">
        <is>
          <t>Cars &amp; Spare Parts</t>
        </is>
      </c>
      <c r="C5" s="59">
        <f>Assumptions!C8</f>
        <v/>
      </c>
      <c r="D5" s="59">
        <f>Assumptions!D8</f>
        <v/>
      </c>
      <c r="E5" s="59">
        <f>Assumptions!E8</f>
        <v/>
      </c>
      <c r="F5" s="59">
        <f>Assumptions!F8</f>
        <v/>
      </c>
      <c r="G5" s="59">
        <f>Assumptions!G8</f>
        <v/>
      </c>
      <c r="H5" s="59">
        <f>Assumptions!H8</f>
        <v/>
      </c>
      <c r="I5" s="59">
        <f>Assumptions!I8</f>
        <v/>
      </c>
      <c r="J5" s="59">
        <f>Assumptions!J8</f>
        <v/>
      </c>
    </row>
    <row r="6">
      <c r="B6" s="38" t="inlineStr">
        <is>
          <t>Engines</t>
        </is>
      </c>
      <c r="C6" s="59">
        <f>Assumptions!C9</f>
        <v/>
      </c>
      <c r="D6" s="59">
        <f>Assumptions!D9</f>
        <v/>
      </c>
      <c r="E6" s="59">
        <f>Assumptions!E9</f>
        <v/>
      </c>
      <c r="F6" s="59">
        <f>Assumptions!F9</f>
        <v/>
      </c>
      <c r="G6" s="59">
        <f>Assumptions!G9</f>
        <v/>
      </c>
      <c r="H6" s="59">
        <f>Assumptions!H9</f>
        <v/>
      </c>
      <c r="I6" s="59">
        <f>Assumptions!I9</f>
        <v/>
      </c>
      <c r="J6" s="59">
        <f>Assumptions!J9</f>
        <v/>
      </c>
    </row>
    <row r="7">
      <c r="B7" s="38" t="inlineStr">
        <is>
          <t>Sponsorship, Commercial &amp; Brand</t>
        </is>
      </c>
      <c r="C7" s="59">
        <f>Assumptions!C10</f>
        <v/>
      </c>
      <c r="D7" s="59">
        <f>Assumptions!D10</f>
        <v/>
      </c>
      <c r="E7" s="59">
        <f>Assumptions!E10</f>
        <v/>
      </c>
      <c r="F7" s="59">
        <f>Assumptions!F10</f>
        <v/>
      </c>
      <c r="G7" s="59">
        <f>Assumptions!G10</f>
        <v/>
      </c>
      <c r="H7" s="59">
        <f>Assumptions!H10</f>
        <v/>
      </c>
      <c r="I7" s="59">
        <f>Assumptions!I10</f>
        <v/>
      </c>
      <c r="J7" s="59">
        <f>Assumptions!J10</f>
        <v/>
      </c>
    </row>
    <row r="8">
      <c r="B8" s="38" t="inlineStr">
        <is>
          <t>Financial Services</t>
        </is>
      </c>
      <c r="C8" s="59">
        <f>Assumptions!C11</f>
        <v/>
      </c>
      <c r="D8" s="59">
        <f>Assumptions!D11</f>
        <v/>
      </c>
      <c r="E8" s="59">
        <f>Assumptions!E11</f>
        <v/>
      </c>
      <c r="F8" s="59">
        <f>Assumptions!F11</f>
        <v/>
      </c>
      <c r="G8" s="59">
        <f>Assumptions!G11</f>
        <v/>
      </c>
      <c r="H8" s="59">
        <f>Assumptions!H11</f>
        <v/>
      </c>
      <c r="I8" s="59">
        <f>Assumptions!I11</f>
        <v/>
      </c>
      <c r="J8" s="59">
        <f>Assumptions!J11</f>
        <v/>
      </c>
    </row>
    <row r="9">
      <c r="B9" s="37" t="inlineStr">
        <is>
          <t>Total Revenue</t>
        </is>
      </c>
      <c r="C9" s="59">
        <f>Assumptions!C12</f>
        <v/>
      </c>
      <c r="D9" s="59">
        <f>Assumptions!D12</f>
        <v/>
      </c>
      <c r="E9" s="59">
        <f>Assumptions!E12</f>
        <v/>
      </c>
      <c r="F9" s="59">
        <f>Assumptions!F12</f>
        <v/>
      </c>
      <c r="G9" s="59">
        <f>Assumptions!G12</f>
        <v/>
      </c>
      <c r="H9" s="59">
        <f>Assumptions!H12</f>
        <v/>
      </c>
      <c r="I9" s="59">
        <f>Assumptions!I12</f>
        <v/>
      </c>
      <c r="J9" s="59">
        <f>Assumptions!J12</f>
        <v/>
      </c>
    </row>
    <row r="10">
      <c r="B10" s="33" t="inlineStr">
        <is>
          <t xml:space="preserve">  YoY Growth %</t>
        </is>
      </c>
      <c r="D10" s="35">
        <f>D9/C9-1</f>
        <v/>
      </c>
      <c r="E10" s="35">
        <f>E9/D9-1</f>
        <v/>
      </c>
      <c r="F10" s="35">
        <f>F9/E9-1</f>
        <v/>
      </c>
      <c r="G10" s="35">
        <f>G9/F9-1</f>
        <v/>
      </c>
      <c r="H10" s="35">
        <f>H9/G9-1</f>
        <v/>
      </c>
      <c r="I10" s="35">
        <f>I9/H9-1</f>
        <v/>
      </c>
      <c r="J10" s="35">
        <f>J9/I9-1</f>
        <v/>
      </c>
    </row>
    <row r="11">
      <c r="B11" s="33" t="inlineStr">
        <is>
          <t xml:space="preserve">  Deliveries (units)</t>
        </is>
      </c>
      <c r="C11" s="59">
        <f>Assumptions!C5</f>
        <v/>
      </c>
      <c r="D11" s="59">
        <f>Assumptions!D5</f>
        <v/>
      </c>
      <c r="E11" s="59">
        <f>Assumptions!E5</f>
        <v/>
      </c>
      <c r="F11" s="59">
        <f>Assumptions!F5</f>
        <v/>
      </c>
      <c r="G11" s="59">
        <f>Assumptions!G5</f>
        <v/>
      </c>
      <c r="H11" s="59">
        <f>Assumptions!H5</f>
        <v/>
      </c>
      <c r="I11" s="59">
        <f>Assumptions!I5</f>
        <v/>
      </c>
      <c r="J11" s="59">
        <f>Assumptions!J5</f>
        <v/>
      </c>
    </row>
    <row r="12">
      <c r="B12" s="20" t="inlineStr">
        <is>
          <t>P&amp;L SUMMARY</t>
        </is>
      </c>
    </row>
    <row r="13">
      <c r="B13" s="30" t="inlineStr">
        <is>
          <t>Gross Profit</t>
        </is>
      </c>
      <c r="C13" s="32">
        <f>C9*Assumptions!C15</f>
        <v/>
      </c>
      <c r="D13" s="32">
        <f>D9*Assumptions!D15</f>
        <v/>
      </c>
      <c r="E13" s="32">
        <f>E9*Assumptions!E15</f>
        <v/>
      </c>
      <c r="F13" s="32">
        <f>F9*Assumptions!F15</f>
        <v/>
      </c>
      <c r="G13" s="32">
        <f>G9*Assumptions!G15</f>
        <v/>
      </c>
      <c r="H13" s="32">
        <f>H9*Assumptions!H15</f>
        <v/>
      </c>
      <c r="I13" s="32">
        <f>I9*Assumptions!I15</f>
        <v/>
      </c>
      <c r="J13" s="32">
        <f>J9*Assumptions!J15</f>
        <v/>
      </c>
    </row>
    <row r="14">
      <c r="B14" s="33" t="inlineStr">
        <is>
          <t xml:space="preserve">  Gross Margin %</t>
        </is>
      </c>
      <c r="C14" s="35">
        <f>C13/C9</f>
        <v/>
      </c>
      <c r="D14" s="35">
        <f>D13/D9</f>
        <v/>
      </c>
      <c r="E14" s="35">
        <f>E13/E9</f>
        <v/>
      </c>
      <c r="F14" s="35">
        <f>F13/F9</f>
        <v/>
      </c>
      <c r="G14" s="35">
        <f>G13/G9</f>
        <v/>
      </c>
      <c r="H14" s="35">
        <f>H13/H9</f>
        <v/>
      </c>
      <c r="I14" s="35">
        <f>I13/I9</f>
        <v/>
      </c>
      <c r="J14" s="35">
        <f>J13/J9</f>
        <v/>
      </c>
    </row>
    <row r="15">
      <c r="B15" s="37" t="inlineStr">
        <is>
          <t>EBITDA</t>
        </is>
      </c>
      <c r="C15" s="59">
        <f>Assumptions!C16</f>
        <v/>
      </c>
      <c r="D15" s="59">
        <f>Assumptions!D16</f>
        <v/>
      </c>
      <c r="E15" s="59">
        <f>Assumptions!E16</f>
        <v/>
      </c>
      <c r="F15" s="39">
        <f>F9*Assumptions!F17</f>
        <v/>
      </c>
      <c r="G15" s="39">
        <f>G9*Assumptions!G17</f>
        <v/>
      </c>
      <c r="H15" s="39">
        <f>H9*Assumptions!H17</f>
        <v/>
      </c>
      <c r="I15" s="39">
        <f>I9*Assumptions!I17</f>
        <v/>
      </c>
      <c r="J15" s="39">
        <f>J9*Assumptions!J17</f>
        <v/>
      </c>
    </row>
    <row r="16">
      <c r="B16" s="33" t="inlineStr">
        <is>
          <t xml:space="preserve">  EBITDA Margin %</t>
        </is>
      </c>
      <c r="C16" s="35">
        <f>C15/C9</f>
        <v/>
      </c>
      <c r="D16" s="35">
        <f>D15/D9</f>
        <v/>
      </c>
      <c r="E16" s="35">
        <f>E15/E9</f>
        <v/>
      </c>
      <c r="F16" s="35">
        <f>F15/F9</f>
        <v/>
      </c>
      <c r="G16" s="35">
        <f>G15/G9</f>
        <v/>
      </c>
      <c r="H16" s="35">
        <f>H15/H9</f>
        <v/>
      </c>
      <c r="I16" s="35">
        <f>I15/I9</f>
        <v/>
      </c>
      <c r="J16" s="35">
        <f>J15/J9</f>
        <v/>
      </c>
    </row>
    <row r="17">
      <c r="B17" s="30" t="inlineStr">
        <is>
          <t>Less: D&amp;A</t>
        </is>
      </c>
      <c r="C17" s="59">
        <f>Assumptions!C18</f>
        <v/>
      </c>
      <c r="D17" s="59">
        <f>Assumptions!D18</f>
        <v/>
      </c>
      <c r="E17" s="59">
        <f>Assumptions!E18</f>
        <v/>
      </c>
      <c r="F17" s="59">
        <f>Assumptions!F18</f>
        <v/>
      </c>
      <c r="G17" s="59">
        <f>Assumptions!G18</f>
        <v/>
      </c>
      <c r="H17" s="59">
        <f>Assumptions!H18</f>
        <v/>
      </c>
      <c r="I17" s="59">
        <f>Assumptions!I18</f>
        <v/>
      </c>
      <c r="J17" s="59">
        <f>Assumptions!J18</f>
        <v/>
      </c>
    </row>
    <row r="18">
      <c r="B18" s="37" t="inlineStr">
        <is>
          <t>EBIT (Operating Profit)</t>
        </is>
      </c>
      <c r="C18" s="39">
        <f>C15-C17</f>
        <v/>
      </c>
      <c r="D18" s="39">
        <f>D15-D17</f>
        <v/>
      </c>
      <c r="E18" s="39">
        <f>E15-E17</f>
        <v/>
      </c>
      <c r="F18" s="39">
        <f>F15-F17</f>
        <v/>
      </c>
      <c r="G18" s="39">
        <f>G15-G17</f>
        <v/>
      </c>
      <c r="H18" s="39">
        <f>H15-H17</f>
        <v/>
      </c>
      <c r="I18" s="39">
        <f>I15-I17</f>
        <v/>
      </c>
      <c r="J18" s="39">
        <f>J15-J17</f>
        <v/>
      </c>
    </row>
    <row r="19">
      <c r="B19" s="33" t="inlineStr">
        <is>
          <t xml:space="preserve">  EBIT Margin %</t>
        </is>
      </c>
      <c r="C19" s="35">
        <f>C18/C9</f>
        <v/>
      </c>
      <c r="D19" s="35">
        <f>D18/D9</f>
        <v/>
      </c>
      <c r="E19" s="35">
        <f>E18/E9</f>
        <v/>
      </c>
      <c r="F19" s="35">
        <f>F18/F9</f>
        <v/>
      </c>
      <c r="G19" s="35">
        <f>G18/G9</f>
        <v/>
      </c>
      <c r="H19" s="35">
        <f>H18/H9</f>
        <v/>
      </c>
      <c r="I19" s="35">
        <f>I18/I9</f>
        <v/>
      </c>
      <c r="J19" s="35">
        <f>J18/J9</f>
        <v/>
      </c>
    </row>
    <row r="20">
      <c r="B20" s="30" t="inlineStr">
        <is>
          <t>Net Profit  (forecast = EBIT × (1 − t), pre-financial items)</t>
        </is>
      </c>
      <c r="C20" s="59">
        <f>Assumptions!C22</f>
        <v/>
      </c>
      <c r="D20" s="59">
        <f>Assumptions!D22</f>
        <v/>
      </c>
      <c r="E20" s="59">
        <f>Assumptions!E22</f>
        <v/>
      </c>
      <c r="F20" s="32">
        <f>F18*(1-Assumptions!F21)</f>
        <v/>
      </c>
      <c r="G20" s="32">
        <f>G18*(1-Assumptions!G21)</f>
        <v/>
      </c>
      <c r="H20" s="32">
        <f>H18*(1-Assumptions!H21)</f>
        <v/>
      </c>
      <c r="I20" s="32">
        <f>I18*(1-Assumptions!I21)</f>
        <v/>
      </c>
      <c r="J20" s="32">
        <f>J18*(1-Assumptions!J21)</f>
        <v/>
      </c>
    </row>
    <row r="21">
      <c r="B21" s="30" t="inlineStr">
        <is>
          <t>Diluted EPS (€)</t>
        </is>
      </c>
      <c r="C21" s="60">
        <f>Assumptions!C23</f>
        <v/>
      </c>
      <c r="D21" s="60">
        <f>Assumptions!D23</f>
        <v/>
      </c>
      <c r="E21" s="60">
        <f>Assumptions!E23</f>
        <v/>
      </c>
      <c r="F21" s="61">
        <f>F20/Assumptions!$C$30</f>
        <v/>
      </c>
      <c r="G21" s="61">
        <f>G20/Assumptions!$C$30</f>
        <v/>
      </c>
      <c r="H21" s="61">
        <f>H20/Assumptions!$C$30</f>
        <v/>
      </c>
      <c r="I21" s="61">
        <f>I20/Assumptions!$C$30</f>
        <v/>
      </c>
      <c r="J21" s="61">
        <f>J20/Assumptions!$C$30</f>
        <v/>
      </c>
    </row>
    <row r="22">
      <c r="B22" s="20" t="inlineStr">
        <is>
          <t>UNLEVERED FREE CASH FLOW BUILD</t>
        </is>
      </c>
    </row>
    <row r="23">
      <c r="B23" s="30" t="inlineStr">
        <is>
          <t>EBIT</t>
        </is>
      </c>
      <c r="C23" s="32">
        <f>C18</f>
        <v/>
      </c>
      <c r="D23" s="32">
        <f>D18</f>
        <v/>
      </c>
      <c r="E23" s="32">
        <f>E18</f>
        <v/>
      </c>
      <c r="F23" s="32">
        <f>F18</f>
        <v/>
      </c>
      <c r="G23" s="32">
        <f>G18</f>
        <v/>
      </c>
      <c r="H23" s="32">
        <f>H18</f>
        <v/>
      </c>
      <c r="I23" s="32">
        <f>I18</f>
        <v/>
      </c>
      <c r="J23" s="32">
        <f>J18</f>
        <v/>
      </c>
    </row>
    <row r="24">
      <c r="B24" s="30" t="inlineStr">
        <is>
          <t xml:space="preserve">  Less: Taxes</t>
        </is>
      </c>
      <c r="C24" s="32">
        <f>-C23*Assumptions!C21</f>
        <v/>
      </c>
      <c r="D24" s="32">
        <f>-D23*Assumptions!D21</f>
        <v/>
      </c>
      <c r="E24" s="32">
        <f>-E23*Assumptions!E21</f>
        <v/>
      </c>
      <c r="F24" s="32">
        <f>-F23*Assumptions!F21</f>
        <v/>
      </c>
      <c r="G24" s="32">
        <f>-G23*Assumptions!G21</f>
        <v/>
      </c>
      <c r="H24" s="32">
        <f>-H23*Assumptions!H21</f>
        <v/>
      </c>
      <c r="I24" s="32">
        <f>-I23*Assumptions!I21</f>
        <v/>
      </c>
      <c r="J24" s="32">
        <f>-J23*Assumptions!J21</f>
        <v/>
      </c>
    </row>
    <row r="25">
      <c r="B25" s="37" t="inlineStr">
        <is>
          <t>NOPAT</t>
        </is>
      </c>
      <c r="C25" s="39">
        <f>C23+C24</f>
        <v/>
      </c>
      <c r="D25" s="39">
        <f>D23+D24</f>
        <v/>
      </c>
      <c r="E25" s="39">
        <f>E23+E24</f>
        <v/>
      </c>
      <c r="F25" s="39">
        <f>F23+F24</f>
        <v/>
      </c>
      <c r="G25" s="39">
        <f>G23+G24</f>
        <v/>
      </c>
      <c r="H25" s="39">
        <f>H23+H24</f>
        <v/>
      </c>
      <c r="I25" s="39">
        <f>I23+I24</f>
        <v/>
      </c>
      <c r="J25" s="39">
        <f>J23+J24</f>
        <v/>
      </c>
    </row>
    <row r="26">
      <c r="B26" s="30" t="inlineStr">
        <is>
          <t xml:space="preserve">  Plus: D&amp;A</t>
        </is>
      </c>
      <c r="C26" s="32">
        <f>C17</f>
        <v/>
      </c>
      <c r="D26" s="32">
        <f>D17</f>
        <v/>
      </c>
      <c r="E26" s="32">
        <f>E17</f>
        <v/>
      </c>
      <c r="F26" s="32">
        <f>F17</f>
        <v/>
      </c>
      <c r="G26" s="32">
        <f>G17</f>
        <v/>
      </c>
      <c r="H26" s="32">
        <f>H17</f>
        <v/>
      </c>
      <c r="I26" s="32">
        <f>I17</f>
        <v/>
      </c>
      <c r="J26" s="32">
        <f>J17</f>
        <v/>
      </c>
    </row>
    <row r="27">
      <c r="B27" s="30" t="inlineStr">
        <is>
          <t xml:space="preserve">  Less: Capital Expenditures</t>
        </is>
      </c>
      <c r="C27" s="32">
        <f>-Assumptions!C19</f>
        <v/>
      </c>
      <c r="D27" s="32">
        <f>-Assumptions!D19</f>
        <v/>
      </c>
      <c r="E27" s="32">
        <f>-Assumptions!E19</f>
        <v/>
      </c>
      <c r="F27" s="32">
        <f>-Assumptions!F19</f>
        <v/>
      </c>
      <c r="G27" s="32">
        <f>-Assumptions!G19</f>
        <v/>
      </c>
      <c r="H27" s="32">
        <f>-Assumptions!H19</f>
        <v/>
      </c>
      <c r="I27" s="32">
        <f>-Assumptions!I19</f>
        <v/>
      </c>
      <c r="J27" s="32">
        <f>-Assumptions!J19</f>
        <v/>
      </c>
    </row>
    <row r="28">
      <c r="B28" s="30" t="inlineStr">
        <is>
          <t xml:space="preserve">  Less: Δ Working Capital</t>
        </is>
      </c>
      <c r="C28" s="32">
        <f>-Assumptions!C20</f>
        <v/>
      </c>
      <c r="D28" s="32">
        <f>-Assumptions!D20</f>
        <v/>
      </c>
      <c r="E28" s="32">
        <f>-Assumptions!E20</f>
        <v/>
      </c>
      <c r="F28" s="32">
        <f>-Assumptions!F20</f>
        <v/>
      </c>
      <c r="G28" s="32">
        <f>-Assumptions!G20</f>
        <v/>
      </c>
      <c r="H28" s="32">
        <f>-Assumptions!H20</f>
        <v/>
      </c>
      <c r="I28" s="32">
        <f>-Assumptions!I20</f>
        <v/>
      </c>
      <c r="J28" s="32">
        <f>-Assumptions!J20</f>
        <v/>
      </c>
    </row>
    <row r="29">
      <c r="B29" s="37" t="inlineStr">
        <is>
          <t>Unlevered Free Cash Flow (€M)</t>
        </is>
      </c>
      <c r="C29" s="62">
        <f>C25+C26+C27+C28</f>
        <v/>
      </c>
      <c r="D29" s="62">
        <f>D25+D26+D27+D28</f>
        <v/>
      </c>
      <c r="E29" s="62">
        <f>E25+E26+E27+E28</f>
        <v/>
      </c>
      <c r="F29" s="62">
        <f>F25+F26+F27+F28</f>
        <v/>
      </c>
      <c r="G29" s="62">
        <f>G25+G26+G27+G28</f>
        <v/>
      </c>
      <c r="H29" s="62">
        <f>H25+H26+H27+H28</f>
        <v/>
      </c>
      <c r="I29" s="62">
        <f>I25+I26+I27+I28</f>
        <v/>
      </c>
      <c r="J29" s="62">
        <f>J25+J26+J27+J28</f>
        <v/>
      </c>
    </row>
    <row r="31" ht="4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</row>
    <row r="32">
      <c r="B32" s="25" t="inlineStr">
        <is>
          <t>Francisco Rodriguez  |  Financial Modeling Portfolio  |  github.com/Azyo1</t>
        </is>
      </c>
    </row>
  </sheetData>
  <mergeCells count="4">
    <mergeCell ref="B4:J4"/>
    <mergeCell ref="B22:J22"/>
    <mergeCell ref="B12:J12"/>
    <mergeCell ref="B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0"/>
  <sheetViews>
    <sheetView showGridLines="0" workbookViewId="0">
      <selection activeCell="A1" sqref="A1"/>
    </sheetView>
  </sheetViews>
  <sheetFormatPr baseColWidth="8" defaultRowHeight="15"/>
  <cols>
    <col width="1.5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.5" customWidth="1" min="9" max="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20" customHeight="1">
      <c r="B2" s="26" t="inlineStr">
        <is>
          <t>Ferrari N.V. — DCF &amp; Valuation  (€M unless noted)</t>
        </is>
      </c>
    </row>
    <row r="3">
      <c r="B3" s="27" t="inlineStr"/>
      <c r="C3" s="28" t="inlineStr">
        <is>
          <t>Value</t>
        </is>
      </c>
      <c r="D3" s="29" t="inlineStr">
        <is>
          <t>FY2026E</t>
        </is>
      </c>
      <c r="E3" s="29" t="inlineStr">
        <is>
          <t>FY2027E</t>
        </is>
      </c>
      <c r="F3" s="29" t="inlineStr">
        <is>
          <t>FY2028E</t>
        </is>
      </c>
      <c r="G3" s="29" t="inlineStr">
        <is>
          <t>FY2029E</t>
        </is>
      </c>
      <c r="H3" s="29" t="inlineStr">
        <is>
          <t>FY2030E</t>
        </is>
      </c>
    </row>
    <row r="4">
      <c r="B4" s="20" t="inlineStr">
        <is>
          <t>WACC BUILD  (inputs on Assumptions)</t>
        </is>
      </c>
    </row>
    <row r="5">
      <c r="B5" s="30" t="inlineStr">
        <is>
          <t>Risk-Free Rate</t>
        </is>
      </c>
      <c r="C5" s="63">
        <f>Assumptions!$C$34</f>
        <v/>
      </c>
    </row>
    <row r="6">
      <c r="B6" s="30" t="inlineStr">
        <is>
          <t>Equity Risk Premium</t>
        </is>
      </c>
      <c r="C6" s="63">
        <f>Assumptions!$C$35</f>
        <v/>
      </c>
    </row>
    <row r="7">
      <c r="B7" s="30" t="inlineStr">
        <is>
          <t>Levered Beta</t>
        </is>
      </c>
      <c r="C7" s="64">
        <f>Assumptions!$C$36</f>
        <v/>
      </c>
    </row>
    <row r="8">
      <c r="B8" s="37" t="inlineStr">
        <is>
          <t>Cost of Equity  [Rf + β × ERP]</t>
        </is>
      </c>
      <c r="C8" s="56">
        <f>C5+C7*C6</f>
        <v/>
      </c>
    </row>
    <row r="9">
      <c r="B9" s="30" t="inlineStr">
        <is>
          <t>Pre-Tax Cost of Debt</t>
        </is>
      </c>
      <c r="C9" s="63">
        <f>Assumptions!$C$37</f>
        <v/>
      </c>
    </row>
    <row r="10">
      <c r="B10" s="30" t="inlineStr">
        <is>
          <t>Tax Rate</t>
        </is>
      </c>
      <c r="C10" s="63">
        <f>Assumptions!$C$38</f>
        <v/>
      </c>
    </row>
    <row r="11">
      <c r="B11" s="30" t="inlineStr">
        <is>
          <t>After-Tax Cost of Debt</t>
        </is>
      </c>
      <c r="C11" s="56">
        <f>C9*(1-C10)</f>
        <v/>
      </c>
    </row>
    <row r="12">
      <c r="B12" s="30" t="inlineStr">
        <is>
          <t>Debt / Total Capital</t>
        </is>
      </c>
      <c r="C12" s="63">
        <f>Assumptions!$C$39</f>
        <v/>
      </c>
    </row>
    <row r="13">
      <c r="B13" s="30" t="inlineStr">
        <is>
          <t>Equity / Total Capital</t>
        </is>
      </c>
      <c r="C13" s="56">
        <f>1-C12</f>
        <v/>
      </c>
    </row>
    <row r="14">
      <c r="B14" s="37" t="inlineStr">
        <is>
          <t>WACC</t>
        </is>
      </c>
      <c r="C14" s="65">
        <f>C8*C13+C11*C12</f>
        <v/>
      </c>
    </row>
    <row r="16">
      <c r="B16" s="20" t="inlineStr">
        <is>
          <t>DCF — PROJECTED FREE CASH FLOW  (€M)</t>
        </is>
      </c>
    </row>
    <row r="17">
      <c r="B17" s="27" t="inlineStr">
        <is>
          <t>Metric</t>
        </is>
      </c>
      <c r="C17" s="27" t="inlineStr"/>
      <c r="D17" s="28" t="inlineStr">
        <is>
          <t>FY2026E</t>
        </is>
      </c>
      <c r="E17" s="28" t="inlineStr">
        <is>
          <t>FY2027E</t>
        </is>
      </c>
      <c r="F17" s="28" t="inlineStr">
        <is>
          <t>FY2028E</t>
        </is>
      </c>
      <c r="G17" s="28" t="inlineStr">
        <is>
          <t>FY2029E</t>
        </is>
      </c>
      <c r="H17" s="28" t="inlineStr">
        <is>
          <t>FY2030E</t>
        </is>
      </c>
    </row>
    <row r="18">
      <c r="B18" s="37" t="inlineStr">
        <is>
          <t>Unlevered Free Cash Flow (€M)</t>
        </is>
      </c>
      <c r="D18" s="59">
        <f>'Income Statement'!F29</f>
        <v/>
      </c>
      <c r="E18" s="59">
        <f>'Income Statement'!G29</f>
        <v/>
      </c>
      <c r="F18" s="59">
        <f>'Income Statement'!H29</f>
        <v/>
      </c>
      <c r="G18" s="59">
        <f>'Income Statement'!I29</f>
        <v/>
      </c>
      <c r="H18" s="59">
        <f>'Income Statement'!J29</f>
        <v/>
      </c>
    </row>
    <row r="19">
      <c r="B19" s="30" t="inlineStr">
        <is>
          <t>Discount Period (mid-year convention)</t>
        </is>
      </c>
      <c r="D19" s="66">
        <f>Assumptions!$C$41</f>
        <v/>
      </c>
      <c r="E19" s="66">
        <f>D19+1</f>
        <v/>
      </c>
      <c r="F19" s="66">
        <f>E19+1</f>
        <v/>
      </c>
      <c r="G19" s="66">
        <f>F19+1</f>
        <v/>
      </c>
      <c r="H19" s="66">
        <f>G19+1</f>
        <v/>
      </c>
    </row>
    <row r="20">
      <c r="B20" s="30" t="inlineStr">
        <is>
          <t>Discount Factor  [1/(1+WACC)^t]</t>
        </is>
      </c>
      <c r="D20" s="67">
        <f>1/(1+$C$14)^D19</f>
        <v/>
      </c>
      <c r="E20" s="67">
        <f>1/(1+$C$14)^E19</f>
        <v/>
      </c>
      <c r="F20" s="67">
        <f>1/(1+$C$14)^F19</f>
        <v/>
      </c>
      <c r="G20" s="67">
        <f>1/(1+$C$14)^G19</f>
        <v/>
      </c>
      <c r="H20" s="67">
        <f>1/(1+$C$14)^H19</f>
        <v/>
      </c>
    </row>
    <row r="21">
      <c r="B21" s="37" t="inlineStr">
        <is>
          <t>PV of Free Cash Flow (€M)</t>
        </is>
      </c>
      <c r="D21" s="39">
        <f>D18*D20</f>
        <v/>
      </c>
      <c r="E21" s="39">
        <f>E18*E20</f>
        <v/>
      </c>
      <c r="F21" s="39">
        <f>F18*F20</f>
        <v/>
      </c>
      <c r="G21" s="39">
        <f>G18*G20</f>
        <v/>
      </c>
      <c r="H21" s="39">
        <f>H18*H20</f>
        <v/>
      </c>
    </row>
    <row r="22">
      <c r="B22" s="20" t="inlineStr">
        <is>
          <t>ENTERPRISE VALUE → EQUITY BRIDGE</t>
        </is>
      </c>
    </row>
    <row r="23">
      <c r="B23" s="37" t="inlineStr">
        <is>
          <t>Sum of PV (FCFs, FY2026E–FY2030E)</t>
        </is>
      </c>
      <c r="C23" s="62">
        <f>SUM(D21:H21)</f>
        <v/>
      </c>
    </row>
    <row r="24">
      <c r="B24" s="30" t="inlineStr">
        <is>
          <t>Terminal Growth Rate (g)</t>
        </is>
      </c>
      <c r="C24" s="63">
        <f>Assumptions!$C$40</f>
        <v/>
      </c>
    </row>
    <row r="25">
      <c r="B25" s="30" t="inlineStr">
        <is>
          <t>Terminal Year FCF  (FY2030E × (1+g))</t>
        </is>
      </c>
      <c r="C25" s="32">
        <f>H18*(1+C24)</f>
        <v/>
      </c>
    </row>
    <row r="26">
      <c r="B26" s="30" t="inlineStr">
        <is>
          <t>Terminal Value  [FCF_T+1 / (WACC−g)]</t>
        </is>
      </c>
      <c r="C26" s="32">
        <f>C25/(C14-C24)</f>
        <v/>
      </c>
    </row>
    <row r="27">
      <c r="B27" s="30" t="inlineStr">
        <is>
          <t>PV of Terminal Value</t>
        </is>
      </c>
      <c r="C27" s="32">
        <f>C26*H20</f>
        <v/>
      </c>
    </row>
    <row r="28">
      <c r="B28" s="37" t="inlineStr">
        <is>
          <t>Enterprise Value  (€M)</t>
        </is>
      </c>
      <c r="C28" s="62">
        <f>C23+C27</f>
        <v/>
      </c>
    </row>
    <row r="29">
      <c r="B29" s="30" t="inlineStr">
        <is>
          <t>Less: Net Industrial Debt  (€M)</t>
        </is>
      </c>
      <c r="C29" s="59">
        <f>Assumptions!$C$31</f>
        <v/>
      </c>
    </row>
    <row r="30">
      <c r="B30" s="37" t="inlineStr">
        <is>
          <t>Equity Value  (€M)</t>
        </is>
      </c>
      <c r="C30" s="62">
        <f>C28-C29</f>
        <v/>
      </c>
    </row>
    <row r="31">
      <c r="B31" s="30" t="inlineStr">
        <is>
          <t>Diluted Shares  (M)</t>
        </is>
      </c>
      <c r="C31" s="68">
        <f>Assumptions!$C$30</f>
        <v/>
      </c>
    </row>
    <row r="32">
      <c r="B32" s="37" t="inlineStr">
        <is>
          <t>DCF Value per Share  (EUR)</t>
        </is>
      </c>
      <c r="C32" s="69">
        <f>C30/C31</f>
        <v/>
      </c>
    </row>
    <row r="33">
      <c r="B33" s="30" t="inlineStr">
        <is>
          <t>EUR/USD</t>
        </is>
      </c>
      <c r="C33" s="64">
        <f>Assumptions!$C$29</f>
        <v/>
      </c>
    </row>
    <row r="34">
      <c r="B34" s="37" t="inlineStr">
        <is>
          <t>DCF Value per Share  (USD)</t>
        </is>
      </c>
      <c r="C34" s="70">
        <f>C32*C33</f>
        <v/>
      </c>
    </row>
    <row r="35">
      <c r="B35" s="30" t="inlineStr">
        <is>
          <t>Current Price  (USD)</t>
        </is>
      </c>
      <c r="C35" s="71">
        <f>Assumptions!$C$26</f>
        <v/>
      </c>
    </row>
    <row r="36">
      <c r="B36" s="37" t="inlineStr">
        <is>
          <t>DCF Upside / (Downside)</t>
        </is>
      </c>
      <c r="C36" s="72">
        <f>C34/C35-1</f>
        <v/>
      </c>
    </row>
    <row r="37">
      <c r="B37" s="30" t="inlineStr">
        <is>
          <t xml:space="preserve">  TV as % of EV</t>
        </is>
      </c>
      <c r="C37" s="35">
        <f>C27/C28</f>
        <v/>
      </c>
    </row>
    <row r="39">
      <c r="B39" s="20" t="inlineStr">
        <is>
          <t>TRADING COMPS  (inputs on Assumptions)</t>
        </is>
      </c>
    </row>
    <row r="40">
      <c r="B40" s="9" t="inlineStr">
        <is>
          <t>Company</t>
        </is>
      </c>
      <c r="C40" s="51" t="inlineStr">
        <is>
          <t>EV/EBITDA</t>
        </is>
      </c>
      <c r="D40" s="51" t="inlineStr">
        <is>
          <t>P/E (NTM)</t>
        </is>
      </c>
      <c r="E40" s="51" t="inlineStr">
        <is>
          <t>Sector</t>
        </is>
      </c>
    </row>
    <row r="41">
      <c r="B41" s="73">
        <f>Assumptions!B56</f>
        <v/>
      </c>
      <c r="C41" s="74">
        <f>Assumptions!C56</f>
        <v/>
      </c>
      <c r="D41" s="75">
        <f>Assumptions!D56</f>
        <v/>
      </c>
      <c r="E41" s="76">
        <f>Assumptions!E56</f>
        <v/>
      </c>
    </row>
    <row r="42">
      <c r="B42" s="73">
        <f>Assumptions!B57</f>
        <v/>
      </c>
      <c r="C42" s="74">
        <f>Assumptions!C57</f>
        <v/>
      </c>
      <c r="D42" s="75">
        <f>Assumptions!D57</f>
        <v/>
      </c>
      <c r="E42" s="76">
        <f>Assumptions!E57</f>
        <v/>
      </c>
    </row>
    <row r="43">
      <c r="B43" s="73">
        <f>Assumptions!B58</f>
        <v/>
      </c>
      <c r="C43" s="74">
        <f>Assumptions!C58</f>
        <v/>
      </c>
      <c r="D43" s="75">
        <f>Assumptions!D58</f>
        <v/>
      </c>
      <c r="E43" s="76">
        <f>Assumptions!E58</f>
        <v/>
      </c>
    </row>
    <row r="44">
      <c r="B44" s="73">
        <f>Assumptions!B59</f>
        <v/>
      </c>
      <c r="C44" s="74">
        <f>Assumptions!C59</f>
        <v/>
      </c>
      <c r="D44" s="75">
        <f>Assumptions!D59</f>
        <v/>
      </c>
      <c r="E44" s="76">
        <f>Assumptions!E59</f>
        <v/>
      </c>
    </row>
    <row r="45">
      <c r="B45" s="73">
        <f>Assumptions!B60</f>
        <v/>
      </c>
      <c r="C45" s="74">
        <f>Assumptions!C60</f>
        <v/>
      </c>
      <c r="D45" s="75">
        <f>Assumptions!D60</f>
        <v/>
      </c>
      <c r="E45" s="76">
        <f>Assumptions!E60</f>
        <v/>
      </c>
    </row>
    <row r="46">
      <c r="B46" s="73">
        <f>Assumptions!B61</f>
        <v/>
      </c>
      <c r="C46" s="74">
        <f>Assumptions!C61</f>
        <v/>
      </c>
      <c r="D46" s="75">
        <f>Assumptions!D61</f>
        <v/>
      </c>
      <c r="E46" s="76">
        <f>Assumptions!E61</f>
        <v/>
      </c>
    </row>
    <row r="47">
      <c r="B47" s="77" t="inlineStr">
        <is>
          <t>Ferrari — current (price-implied)</t>
        </is>
      </c>
      <c r="C47" s="78">
        <f>(Assumptions!$C$26/Assumptions!$C$29*Assumptions!$C$30+Assumptions!$C$31)/'Income Statement'!F15</f>
        <v/>
      </c>
      <c r="D47" s="78">
        <f>Assumptions!$C$26/Assumptions!$C$29/'Income Statement'!F21</f>
        <v/>
      </c>
      <c r="E47" s="79" t="n"/>
    </row>
    <row r="48">
      <c r="B48" s="37" t="inlineStr">
        <is>
          <t>Ferrari — target</t>
        </is>
      </c>
      <c r="C48" s="74">
        <f>Assumptions!$C$45</f>
        <v/>
      </c>
    </row>
    <row r="50">
      <c r="B50" s="20" t="inlineStr">
        <is>
          <t>COMPS-IMPLIED USD SHARE PRICE  (FY2026E EBITDA × Multiple)</t>
        </is>
      </c>
    </row>
    <row r="51">
      <c r="B51" s="9" t="inlineStr">
        <is>
          <t>Scenario</t>
        </is>
      </c>
      <c r="C51" s="51" t="inlineStr">
        <is>
          <t>Multiple</t>
        </is>
      </c>
      <c r="D51" s="51" t="inlineStr">
        <is>
          <t>Implied EV (€M)</t>
        </is>
      </c>
      <c r="E51" s="51" t="inlineStr">
        <is>
          <t>Implied Equity (€M)</t>
        </is>
      </c>
      <c r="F51" s="51" t="inlineStr">
        <is>
          <t>USD / Share</t>
        </is>
      </c>
      <c r="G51" s="51" t="inlineStr">
        <is>
          <t>vs. Current</t>
        </is>
      </c>
    </row>
    <row r="52">
      <c r="B52" s="30" t="inlineStr">
        <is>
          <t>BMW multiple (floor)</t>
        </is>
      </c>
      <c r="C52" s="57">
        <f>Assumptions!C61</f>
        <v/>
      </c>
      <c r="D52" s="32">
        <f>C52*'Income Statement'!$F$15</f>
        <v/>
      </c>
      <c r="E52" s="32">
        <f>D52-$C$29</f>
        <v/>
      </c>
      <c r="F52" s="80">
        <f>E52/$C$31*$C$33</f>
        <v/>
      </c>
      <c r="G52" s="35">
        <f>F52/$C$35-1</f>
        <v/>
      </c>
    </row>
    <row r="53">
      <c r="B53" s="30" t="inlineStr">
        <is>
          <t>Porsche multiple</t>
        </is>
      </c>
      <c r="C53" s="57">
        <f>Assumptions!C59</f>
        <v/>
      </c>
      <c r="D53" s="32">
        <f>C53*'Income Statement'!$F$15</f>
        <v/>
      </c>
      <c r="E53" s="32">
        <f>D53-$C$29</f>
        <v/>
      </c>
      <c r="F53" s="80">
        <f>E53/$C$31*$C$33</f>
        <v/>
      </c>
      <c r="G53" s="35">
        <f>F53/$C$35-1</f>
        <v/>
      </c>
    </row>
    <row r="54">
      <c r="B54" s="30" t="inlineStr">
        <is>
          <t>LVMH multiple</t>
        </is>
      </c>
      <c r="C54" s="57">
        <f>Assumptions!C57</f>
        <v/>
      </c>
      <c r="D54" s="32">
        <f>C54*'Income Statement'!$F$15</f>
        <v/>
      </c>
      <c r="E54" s="32">
        <f>D54-$C$29</f>
        <v/>
      </c>
      <c r="F54" s="80">
        <f>E54/$C$31*$C$33</f>
        <v/>
      </c>
      <c r="G54" s="35">
        <f>F54/$C$35-1</f>
        <v/>
      </c>
    </row>
    <row r="55">
      <c r="B55" s="30" t="inlineStr">
        <is>
          <t>Ferrari current</t>
        </is>
      </c>
      <c r="C55" s="57">
        <f>C47</f>
        <v/>
      </c>
      <c r="D55" s="32">
        <f>C55*'Income Statement'!$F$15</f>
        <v/>
      </c>
      <c r="E55" s="32">
        <f>D55-$C$29</f>
        <v/>
      </c>
      <c r="F55" s="80">
        <f>E55/$C$31*$C$33</f>
        <v/>
      </c>
      <c r="G55" s="35">
        <f>F55/$C$35-1</f>
        <v/>
      </c>
    </row>
    <row r="56">
      <c r="B56" s="81" t="inlineStr">
        <is>
          <t>★ Ferrari target</t>
        </is>
      </c>
      <c r="C56" s="74">
        <f>Assumptions!$C$45</f>
        <v/>
      </c>
      <c r="D56" s="59">
        <f>C56*'Income Statement'!$F$15</f>
        <v/>
      </c>
      <c r="E56" s="59">
        <f>D56-$C$29</f>
        <v/>
      </c>
      <c r="F56" s="82">
        <f>E56/$C$31*$C$33</f>
        <v/>
      </c>
      <c r="G56" s="83">
        <f>F56/$C$35-1</f>
        <v/>
      </c>
    </row>
    <row r="57">
      <c r="B57" s="30" t="inlineStr">
        <is>
          <t>Hermès ceiling</t>
        </is>
      </c>
      <c r="C57" s="57">
        <f>Assumptions!C56</f>
        <v/>
      </c>
      <c r="D57" s="32">
        <f>C57*'Income Statement'!$F$15</f>
        <v/>
      </c>
      <c r="E57" s="32">
        <f>D57-$C$29</f>
        <v/>
      </c>
      <c r="F57" s="80">
        <f>E57/$C$31*$C$33</f>
        <v/>
      </c>
      <c r="G57" s="35">
        <f>F57/$C$35-1</f>
        <v/>
      </c>
    </row>
    <row r="59">
      <c r="B59" s="9" t="inlineStr">
        <is>
          <t>BLENDED PRICE TARGET</t>
        </is>
      </c>
    </row>
    <row r="60">
      <c r="B60" s="30" t="inlineStr">
        <is>
          <t>DCF Value (USD)</t>
        </is>
      </c>
      <c r="C60" s="80">
        <f>C34</f>
        <v/>
      </c>
    </row>
    <row r="61">
      <c r="B61" s="30" t="inlineStr">
        <is>
          <t>Comps Value — target multiple (USD)</t>
        </is>
      </c>
      <c r="C61" s="80">
        <f>F56</f>
        <v/>
      </c>
    </row>
    <row r="62">
      <c r="B62" s="30" t="inlineStr">
        <is>
          <t>DCF Weight / Comps Weight</t>
        </is>
      </c>
      <c r="C62" s="84">
        <f>TEXT(Assumptions!$C$43,"0%")&amp;" / "&amp;TEXT(Assumptions!$C$44,"0%")</f>
        <v/>
      </c>
    </row>
    <row r="63">
      <c r="B63" s="30" t="inlineStr">
        <is>
          <t>Blended Value (USD)</t>
        </is>
      </c>
      <c r="C63" s="80">
        <f>Assumptions!$C$43*C60+Assumptions!$C$44*C61</f>
        <v/>
      </c>
    </row>
    <row r="64">
      <c r="B64" s="85" t="inlineStr">
        <is>
          <t>★ PRICE TARGET (rounded)</t>
        </is>
      </c>
      <c r="C64" s="86">
        <f>ROUND(C63/Assumptions!$C$46,0)*Assumptions!$C$46</f>
        <v/>
      </c>
    </row>
    <row r="65">
      <c r="B65" s="30" t="inlineStr">
        <is>
          <t>Current Price</t>
        </is>
      </c>
      <c r="C65" s="80">
        <f>C35</f>
        <v/>
      </c>
    </row>
    <row r="66">
      <c r="B66" s="85" t="inlineStr">
        <is>
          <t>Upside / (Downside) to PT</t>
        </is>
      </c>
      <c r="C66" s="87">
        <f>C64/C65-1</f>
        <v/>
      </c>
    </row>
    <row r="67">
      <c r="B67" s="85" t="inlineStr">
        <is>
          <t>★ RATING</t>
        </is>
      </c>
      <c r="C67" s="88">
        <f>IF(C66&gt;=Assumptions!$C$47,"OVERWEIGHT",IF(C66&lt;=Assumptions!$C$48,"UNDERWEIGHT","EQUAL-WEIGHT"))</f>
        <v/>
      </c>
    </row>
    <row r="69" ht="4" customHeight="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</row>
    <row r="70">
      <c r="B70" s="25" t="inlineStr">
        <is>
          <t>Francisco Rodriguez  |  Financial Modeling Portfolio  |  github.com/Azyo1</t>
        </is>
      </c>
    </row>
  </sheetData>
  <mergeCells count="7">
    <mergeCell ref="B22:H22"/>
    <mergeCell ref="B50:H50"/>
    <mergeCell ref="B4:H4"/>
    <mergeCell ref="B39:H39"/>
    <mergeCell ref="B16:H16"/>
    <mergeCell ref="B2:H2"/>
    <mergeCell ref="B59:H5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3"/>
  <sheetViews>
    <sheetView showGridLines="0" workbookViewId="0">
      <selection activeCell="A1" sqref="A1"/>
    </sheetView>
  </sheetViews>
  <sheetFormatPr baseColWidth="8" defaultRowHeight="15"/>
  <cols>
    <col width="1.5" customWidth="1" min="1" max="1"/>
    <col width="3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.5" customWidth="1" min="10" max="10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20" customHeight="1">
      <c r="B2" s="26" t="inlineStr">
        <is>
          <t>Ferrari N.V. — Sensitivity &amp; Scenario Analysis  (live formulas)</t>
        </is>
      </c>
    </row>
    <row r="3">
      <c r="B3" s="20" t="inlineStr">
        <is>
          <t>TABLE 1 — DCF Value per Share (USD): WACC × Terminal Growth</t>
        </is>
      </c>
    </row>
    <row r="4">
      <c r="B4" s="89" t="inlineStr">
        <is>
          <t>g ↓  |  WACC →</t>
        </is>
      </c>
      <c r="C4" s="90">
        <f>'DCF &amp; Valuation'!$C$14+(-3)*Assumptions!$C$49</f>
        <v/>
      </c>
      <c r="D4" s="90">
        <f>'DCF &amp; Valuation'!$C$14+(-2)*Assumptions!$C$49</f>
        <v/>
      </c>
      <c r="E4" s="90">
        <f>'DCF &amp; Valuation'!$C$14+(-1)*Assumptions!$C$49</f>
        <v/>
      </c>
      <c r="F4" s="90">
        <f>'DCF &amp; Valuation'!$C$14+(0)*Assumptions!$C$49</f>
        <v/>
      </c>
      <c r="G4" s="90">
        <f>'DCF &amp; Valuation'!$C$14+(1)*Assumptions!$C$49</f>
        <v/>
      </c>
      <c r="H4" s="90">
        <f>'DCF &amp; Valuation'!$C$14+(2)*Assumptions!$C$49</f>
        <v/>
      </c>
      <c r="I4" s="90">
        <f>'DCF &amp; Valuation'!$C$14+(3)*Assumptions!$C$49</f>
        <v/>
      </c>
    </row>
    <row r="5">
      <c r="B5" s="90">
        <f>Assumptions!$C$40+(-2)*Assumptions!$C$50</f>
        <v/>
      </c>
      <c r="C5" s="80">
        <f>('DCF &amp; Valuation'!D$18/(1+C$4)^'DCF &amp; Valuation'!D$19+'DCF &amp; Valuation'!E$18/(1+C$4)^'DCF &amp; Valuation'!E$19+'DCF &amp; Valuation'!F$18/(1+C$4)^'DCF &amp; Valuation'!F$19+'DCF &amp; Valuation'!G$18/(1+C$4)^'DCF &amp; Valuation'!G$19+'DCF &amp; Valuation'!H$18/(1+C$4)^'DCF &amp; Valuation'!H$19+'DCF &amp; Valuation'!$H$18*(1+$B5)/(C$4-$B5)/(1+C$4)^'DCF &amp; Valuation'!$H$19-'DCF &amp; Valuation'!$C$29)/'DCF &amp; Valuation'!$C$31*'DCF &amp; Valuation'!$C$33</f>
        <v/>
      </c>
      <c r="D5" s="80">
        <f>('DCF &amp; Valuation'!D$18/(1+D$4)^'DCF &amp; Valuation'!D$19+'DCF &amp; Valuation'!E$18/(1+D$4)^'DCF &amp; Valuation'!E$19+'DCF &amp; Valuation'!F$18/(1+D$4)^'DCF &amp; Valuation'!F$19+'DCF &amp; Valuation'!G$18/(1+D$4)^'DCF &amp; Valuation'!G$19+'DCF &amp; Valuation'!H$18/(1+D$4)^'DCF &amp; Valuation'!H$19+'DCF &amp; Valuation'!$H$18*(1+$B5)/(D$4-$B5)/(1+D$4)^'DCF &amp; Valuation'!$H$19-'DCF &amp; Valuation'!$C$29)/'DCF &amp; Valuation'!$C$31*'DCF &amp; Valuation'!$C$33</f>
        <v/>
      </c>
      <c r="E5" s="80">
        <f>('DCF &amp; Valuation'!D$18/(1+E$4)^'DCF &amp; Valuation'!D$19+'DCF &amp; Valuation'!E$18/(1+E$4)^'DCF &amp; Valuation'!E$19+'DCF &amp; Valuation'!F$18/(1+E$4)^'DCF &amp; Valuation'!F$19+'DCF &amp; Valuation'!G$18/(1+E$4)^'DCF &amp; Valuation'!G$19+'DCF &amp; Valuation'!H$18/(1+E$4)^'DCF &amp; Valuation'!H$19+'DCF &amp; Valuation'!$H$18*(1+$B5)/(E$4-$B5)/(1+E$4)^'DCF &amp; Valuation'!$H$19-'DCF &amp; Valuation'!$C$29)/'DCF &amp; Valuation'!$C$31*'DCF &amp; Valuation'!$C$33</f>
        <v/>
      </c>
      <c r="F5" s="80">
        <f>('DCF &amp; Valuation'!D$18/(1+F$4)^'DCF &amp; Valuation'!D$19+'DCF &amp; Valuation'!E$18/(1+F$4)^'DCF &amp; Valuation'!E$19+'DCF &amp; Valuation'!F$18/(1+F$4)^'DCF &amp; Valuation'!F$19+'DCF &amp; Valuation'!G$18/(1+F$4)^'DCF &amp; Valuation'!G$19+'DCF &amp; Valuation'!H$18/(1+F$4)^'DCF &amp; Valuation'!H$19+'DCF &amp; Valuation'!$H$18*(1+$B5)/(F$4-$B5)/(1+F$4)^'DCF &amp; Valuation'!$H$19-'DCF &amp; Valuation'!$C$29)/'DCF &amp; Valuation'!$C$31*'DCF &amp; Valuation'!$C$33</f>
        <v/>
      </c>
      <c r="G5" s="80">
        <f>('DCF &amp; Valuation'!D$18/(1+G$4)^'DCF &amp; Valuation'!D$19+'DCF &amp; Valuation'!E$18/(1+G$4)^'DCF &amp; Valuation'!E$19+'DCF &amp; Valuation'!F$18/(1+G$4)^'DCF &amp; Valuation'!F$19+'DCF &amp; Valuation'!G$18/(1+G$4)^'DCF &amp; Valuation'!G$19+'DCF &amp; Valuation'!H$18/(1+G$4)^'DCF &amp; Valuation'!H$19+'DCF &amp; Valuation'!$H$18*(1+$B5)/(G$4-$B5)/(1+G$4)^'DCF &amp; Valuation'!$H$19-'DCF &amp; Valuation'!$C$29)/'DCF &amp; Valuation'!$C$31*'DCF &amp; Valuation'!$C$33</f>
        <v/>
      </c>
      <c r="H5" s="80">
        <f>('DCF &amp; Valuation'!D$18/(1+H$4)^'DCF &amp; Valuation'!D$19+'DCF &amp; Valuation'!E$18/(1+H$4)^'DCF &amp; Valuation'!E$19+'DCF &amp; Valuation'!F$18/(1+H$4)^'DCF &amp; Valuation'!F$19+'DCF &amp; Valuation'!G$18/(1+H$4)^'DCF &amp; Valuation'!G$19+'DCF &amp; Valuation'!H$18/(1+H$4)^'DCF &amp; Valuation'!H$19+'DCF &amp; Valuation'!$H$18*(1+$B5)/(H$4-$B5)/(1+H$4)^'DCF &amp; Valuation'!$H$19-'DCF &amp; Valuation'!$C$29)/'DCF &amp; Valuation'!$C$31*'DCF &amp; Valuation'!$C$33</f>
        <v/>
      </c>
      <c r="I5" s="80">
        <f>('DCF &amp; Valuation'!D$18/(1+I$4)^'DCF &amp; Valuation'!D$19+'DCF &amp; Valuation'!E$18/(1+I$4)^'DCF &amp; Valuation'!E$19+'DCF &amp; Valuation'!F$18/(1+I$4)^'DCF &amp; Valuation'!F$19+'DCF &amp; Valuation'!G$18/(1+I$4)^'DCF &amp; Valuation'!G$19+'DCF &amp; Valuation'!H$18/(1+I$4)^'DCF &amp; Valuation'!H$19+'DCF &amp; Valuation'!$H$18*(1+$B5)/(I$4-$B5)/(1+I$4)^'DCF &amp; Valuation'!$H$19-'DCF &amp; Valuation'!$C$29)/'DCF &amp; Valuation'!$C$31*'DCF &amp; Valuation'!$C$33</f>
        <v/>
      </c>
    </row>
    <row r="6">
      <c r="B6" s="90">
        <f>Assumptions!$C$40+(-1)*Assumptions!$C$50</f>
        <v/>
      </c>
      <c r="C6" s="80">
        <f>('DCF &amp; Valuation'!D$18/(1+C$4)^'DCF &amp; Valuation'!D$19+'DCF &amp; Valuation'!E$18/(1+C$4)^'DCF &amp; Valuation'!E$19+'DCF &amp; Valuation'!F$18/(1+C$4)^'DCF &amp; Valuation'!F$19+'DCF &amp; Valuation'!G$18/(1+C$4)^'DCF &amp; Valuation'!G$19+'DCF &amp; Valuation'!H$18/(1+C$4)^'DCF &amp; Valuation'!H$19+'DCF &amp; Valuation'!$H$18*(1+$B6)/(C$4-$B6)/(1+C$4)^'DCF &amp; Valuation'!$H$19-'DCF &amp; Valuation'!$C$29)/'DCF &amp; Valuation'!$C$31*'DCF &amp; Valuation'!$C$33</f>
        <v/>
      </c>
      <c r="D6" s="80">
        <f>('DCF &amp; Valuation'!D$18/(1+D$4)^'DCF &amp; Valuation'!D$19+'DCF &amp; Valuation'!E$18/(1+D$4)^'DCF &amp; Valuation'!E$19+'DCF &amp; Valuation'!F$18/(1+D$4)^'DCF &amp; Valuation'!F$19+'DCF &amp; Valuation'!G$18/(1+D$4)^'DCF &amp; Valuation'!G$19+'DCF &amp; Valuation'!H$18/(1+D$4)^'DCF &amp; Valuation'!H$19+'DCF &amp; Valuation'!$H$18*(1+$B6)/(D$4-$B6)/(1+D$4)^'DCF &amp; Valuation'!$H$19-'DCF &amp; Valuation'!$C$29)/'DCF &amp; Valuation'!$C$31*'DCF &amp; Valuation'!$C$33</f>
        <v/>
      </c>
      <c r="E6" s="80">
        <f>('DCF &amp; Valuation'!D$18/(1+E$4)^'DCF &amp; Valuation'!D$19+'DCF &amp; Valuation'!E$18/(1+E$4)^'DCF &amp; Valuation'!E$19+'DCF &amp; Valuation'!F$18/(1+E$4)^'DCF &amp; Valuation'!F$19+'DCF &amp; Valuation'!G$18/(1+E$4)^'DCF &amp; Valuation'!G$19+'DCF &amp; Valuation'!H$18/(1+E$4)^'DCF &amp; Valuation'!H$19+'DCF &amp; Valuation'!$H$18*(1+$B6)/(E$4-$B6)/(1+E$4)^'DCF &amp; Valuation'!$H$19-'DCF &amp; Valuation'!$C$29)/'DCF &amp; Valuation'!$C$31*'DCF &amp; Valuation'!$C$33</f>
        <v/>
      </c>
      <c r="F6" s="80">
        <f>('DCF &amp; Valuation'!D$18/(1+F$4)^'DCF &amp; Valuation'!D$19+'DCF &amp; Valuation'!E$18/(1+F$4)^'DCF &amp; Valuation'!E$19+'DCF &amp; Valuation'!F$18/(1+F$4)^'DCF &amp; Valuation'!F$19+'DCF &amp; Valuation'!G$18/(1+F$4)^'DCF &amp; Valuation'!G$19+'DCF &amp; Valuation'!H$18/(1+F$4)^'DCF &amp; Valuation'!H$19+'DCF &amp; Valuation'!$H$18*(1+$B6)/(F$4-$B6)/(1+F$4)^'DCF &amp; Valuation'!$H$19-'DCF &amp; Valuation'!$C$29)/'DCF &amp; Valuation'!$C$31*'DCF &amp; Valuation'!$C$33</f>
        <v/>
      </c>
      <c r="G6" s="80">
        <f>('DCF &amp; Valuation'!D$18/(1+G$4)^'DCF &amp; Valuation'!D$19+'DCF &amp; Valuation'!E$18/(1+G$4)^'DCF &amp; Valuation'!E$19+'DCF &amp; Valuation'!F$18/(1+G$4)^'DCF &amp; Valuation'!F$19+'DCF &amp; Valuation'!G$18/(1+G$4)^'DCF &amp; Valuation'!G$19+'DCF &amp; Valuation'!H$18/(1+G$4)^'DCF &amp; Valuation'!H$19+'DCF &amp; Valuation'!$H$18*(1+$B6)/(G$4-$B6)/(1+G$4)^'DCF &amp; Valuation'!$H$19-'DCF &amp; Valuation'!$C$29)/'DCF &amp; Valuation'!$C$31*'DCF &amp; Valuation'!$C$33</f>
        <v/>
      </c>
      <c r="H6" s="80">
        <f>('DCF &amp; Valuation'!D$18/(1+H$4)^'DCF &amp; Valuation'!D$19+'DCF &amp; Valuation'!E$18/(1+H$4)^'DCF &amp; Valuation'!E$19+'DCF &amp; Valuation'!F$18/(1+H$4)^'DCF &amp; Valuation'!F$19+'DCF &amp; Valuation'!G$18/(1+H$4)^'DCF &amp; Valuation'!G$19+'DCF &amp; Valuation'!H$18/(1+H$4)^'DCF &amp; Valuation'!H$19+'DCF &amp; Valuation'!$H$18*(1+$B6)/(H$4-$B6)/(1+H$4)^'DCF &amp; Valuation'!$H$19-'DCF &amp; Valuation'!$C$29)/'DCF &amp; Valuation'!$C$31*'DCF &amp; Valuation'!$C$33</f>
        <v/>
      </c>
      <c r="I6" s="80">
        <f>('DCF &amp; Valuation'!D$18/(1+I$4)^'DCF &amp; Valuation'!D$19+'DCF &amp; Valuation'!E$18/(1+I$4)^'DCF &amp; Valuation'!E$19+'DCF &amp; Valuation'!F$18/(1+I$4)^'DCF &amp; Valuation'!F$19+'DCF &amp; Valuation'!G$18/(1+I$4)^'DCF &amp; Valuation'!G$19+'DCF &amp; Valuation'!H$18/(1+I$4)^'DCF &amp; Valuation'!H$19+'DCF &amp; Valuation'!$H$18*(1+$B6)/(I$4-$B6)/(1+I$4)^'DCF &amp; Valuation'!$H$19-'DCF &amp; Valuation'!$C$29)/'DCF &amp; Valuation'!$C$31*'DCF &amp; Valuation'!$C$33</f>
        <v/>
      </c>
    </row>
    <row r="7">
      <c r="B7" s="90">
        <f>Assumptions!$C$40+(0)*Assumptions!$C$50</f>
        <v/>
      </c>
      <c r="C7" s="80">
        <f>('DCF &amp; Valuation'!D$18/(1+C$4)^'DCF &amp; Valuation'!D$19+'DCF &amp; Valuation'!E$18/(1+C$4)^'DCF &amp; Valuation'!E$19+'DCF &amp; Valuation'!F$18/(1+C$4)^'DCF &amp; Valuation'!F$19+'DCF &amp; Valuation'!G$18/(1+C$4)^'DCF &amp; Valuation'!G$19+'DCF &amp; Valuation'!H$18/(1+C$4)^'DCF &amp; Valuation'!H$19+'DCF &amp; Valuation'!$H$18*(1+$B7)/(C$4-$B7)/(1+C$4)^'DCF &amp; Valuation'!$H$19-'DCF &amp; Valuation'!$C$29)/'DCF &amp; Valuation'!$C$31*'DCF &amp; Valuation'!$C$33</f>
        <v/>
      </c>
      <c r="D7" s="80">
        <f>('DCF &amp; Valuation'!D$18/(1+D$4)^'DCF &amp; Valuation'!D$19+'DCF &amp; Valuation'!E$18/(1+D$4)^'DCF &amp; Valuation'!E$19+'DCF &amp; Valuation'!F$18/(1+D$4)^'DCF &amp; Valuation'!F$19+'DCF &amp; Valuation'!G$18/(1+D$4)^'DCF &amp; Valuation'!G$19+'DCF &amp; Valuation'!H$18/(1+D$4)^'DCF &amp; Valuation'!H$19+'DCF &amp; Valuation'!$H$18*(1+$B7)/(D$4-$B7)/(1+D$4)^'DCF &amp; Valuation'!$H$19-'DCF &amp; Valuation'!$C$29)/'DCF &amp; Valuation'!$C$31*'DCF &amp; Valuation'!$C$33</f>
        <v/>
      </c>
      <c r="E7" s="80">
        <f>('DCF &amp; Valuation'!D$18/(1+E$4)^'DCF &amp; Valuation'!D$19+'DCF &amp; Valuation'!E$18/(1+E$4)^'DCF &amp; Valuation'!E$19+'DCF &amp; Valuation'!F$18/(1+E$4)^'DCF &amp; Valuation'!F$19+'DCF &amp; Valuation'!G$18/(1+E$4)^'DCF &amp; Valuation'!G$19+'DCF &amp; Valuation'!H$18/(1+E$4)^'DCF &amp; Valuation'!H$19+'DCF &amp; Valuation'!$H$18*(1+$B7)/(E$4-$B7)/(1+E$4)^'DCF &amp; Valuation'!$H$19-'DCF &amp; Valuation'!$C$29)/'DCF &amp; Valuation'!$C$31*'DCF &amp; Valuation'!$C$33</f>
        <v/>
      </c>
      <c r="F7" s="91">
        <f>('DCF &amp; Valuation'!D$18/(1+F$4)^'DCF &amp; Valuation'!D$19+'DCF &amp; Valuation'!E$18/(1+F$4)^'DCF &amp; Valuation'!E$19+'DCF &amp; Valuation'!F$18/(1+F$4)^'DCF &amp; Valuation'!F$19+'DCF &amp; Valuation'!G$18/(1+F$4)^'DCF &amp; Valuation'!G$19+'DCF &amp; Valuation'!H$18/(1+F$4)^'DCF &amp; Valuation'!H$19+'DCF &amp; Valuation'!$H$18*(1+$B7)/(F$4-$B7)/(1+F$4)^'DCF &amp; Valuation'!$H$19-'DCF &amp; Valuation'!$C$29)/'DCF &amp; Valuation'!$C$31*'DCF &amp; Valuation'!$C$33</f>
        <v/>
      </c>
      <c r="G7" s="80">
        <f>('DCF &amp; Valuation'!D$18/(1+G$4)^'DCF &amp; Valuation'!D$19+'DCF &amp; Valuation'!E$18/(1+G$4)^'DCF &amp; Valuation'!E$19+'DCF &amp; Valuation'!F$18/(1+G$4)^'DCF &amp; Valuation'!F$19+'DCF &amp; Valuation'!G$18/(1+G$4)^'DCF &amp; Valuation'!G$19+'DCF &amp; Valuation'!H$18/(1+G$4)^'DCF &amp; Valuation'!H$19+'DCF &amp; Valuation'!$H$18*(1+$B7)/(G$4-$B7)/(1+G$4)^'DCF &amp; Valuation'!$H$19-'DCF &amp; Valuation'!$C$29)/'DCF &amp; Valuation'!$C$31*'DCF &amp; Valuation'!$C$33</f>
        <v/>
      </c>
      <c r="H7" s="80">
        <f>('DCF &amp; Valuation'!D$18/(1+H$4)^'DCF &amp; Valuation'!D$19+'DCF &amp; Valuation'!E$18/(1+H$4)^'DCF &amp; Valuation'!E$19+'DCF &amp; Valuation'!F$18/(1+H$4)^'DCF &amp; Valuation'!F$19+'DCF &amp; Valuation'!G$18/(1+H$4)^'DCF &amp; Valuation'!G$19+'DCF &amp; Valuation'!H$18/(1+H$4)^'DCF &amp; Valuation'!H$19+'DCF &amp; Valuation'!$H$18*(1+$B7)/(H$4-$B7)/(1+H$4)^'DCF &amp; Valuation'!$H$19-'DCF &amp; Valuation'!$C$29)/'DCF &amp; Valuation'!$C$31*'DCF &amp; Valuation'!$C$33</f>
        <v/>
      </c>
      <c r="I7" s="80">
        <f>('DCF &amp; Valuation'!D$18/(1+I$4)^'DCF &amp; Valuation'!D$19+'DCF &amp; Valuation'!E$18/(1+I$4)^'DCF &amp; Valuation'!E$19+'DCF &amp; Valuation'!F$18/(1+I$4)^'DCF &amp; Valuation'!F$19+'DCF &amp; Valuation'!G$18/(1+I$4)^'DCF &amp; Valuation'!G$19+'DCF &amp; Valuation'!H$18/(1+I$4)^'DCF &amp; Valuation'!H$19+'DCF &amp; Valuation'!$H$18*(1+$B7)/(I$4-$B7)/(1+I$4)^'DCF &amp; Valuation'!$H$19-'DCF &amp; Valuation'!$C$29)/'DCF &amp; Valuation'!$C$31*'DCF &amp; Valuation'!$C$33</f>
        <v/>
      </c>
    </row>
    <row r="8">
      <c r="B8" s="90">
        <f>Assumptions!$C$40+(1)*Assumptions!$C$50</f>
        <v/>
      </c>
      <c r="C8" s="80">
        <f>('DCF &amp; Valuation'!D$18/(1+C$4)^'DCF &amp; Valuation'!D$19+'DCF &amp; Valuation'!E$18/(1+C$4)^'DCF &amp; Valuation'!E$19+'DCF &amp; Valuation'!F$18/(1+C$4)^'DCF &amp; Valuation'!F$19+'DCF &amp; Valuation'!G$18/(1+C$4)^'DCF &amp; Valuation'!G$19+'DCF &amp; Valuation'!H$18/(1+C$4)^'DCF &amp; Valuation'!H$19+'DCF &amp; Valuation'!$H$18*(1+$B8)/(C$4-$B8)/(1+C$4)^'DCF &amp; Valuation'!$H$19-'DCF &amp; Valuation'!$C$29)/'DCF &amp; Valuation'!$C$31*'DCF &amp; Valuation'!$C$33</f>
        <v/>
      </c>
      <c r="D8" s="80">
        <f>('DCF &amp; Valuation'!D$18/(1+D$4)^'DCF &amp; Valuation'!D$19+'DCF &amp; Valuation'!E$18/(1+D$4)^'DCF &amp; Valuation'!E$19+'DCF &amp; Valuation'!F$18/(1+D$4)^'DCF &amp; Valuation'!F$19+'DCF &amp; Valuation'!G$18/(1+D$4)^'DCF &amp; Valuation'!G$19+'DCF &amp; Valuation'!H$18/(1+D$4)^'DCF &amp; Valuation'!H$19+'DCF &amp; Valuation'!$H$18*(1+$B8)/(D$4-$B8)/(1+D$4)^'DCF &amp; Valuation'!$H$19-'DCF &amp; Valuation'!$C$29)/'DCF &amp; Valuation'!$C$31*'DCF &amp; Valuation'!$C$33</f>
        <v/>
      </c>
      <c r="E8" s="80">
        <f>('DCF &amp; Valuation'!D$18/(1+E$4)^'DCF &amp; Valuation'!D$19+'DCF &amp; Valuation'!E$18/(1+E$4)^'DCF &amp; Valuation'!E$19+'DCF &amp; Valuation'!F$18/(1+E$4)^'DCF &amp; Valuation'!F$19+'DCF &amp; Valuation'!G$18/(1+E$4)^'DCF &amp; Valuation'!G$19+'DCF &amp; Valuation'!H$18/(1+E$4)^'DCF &amp; Valuation'!H$19+'DCF &amp; Valuation'!$H$18*(1+$B8)/(E$4-$B8)/(1+E$4)^'DCF &amp; Valuation'!$H$19-'DCF &amp; Valuation'!$C$29)/'DCF &amp; Valuation'!$C$31*'DCF &amp; Valuation'!$C$33</f>
        <v/>
      </c>
      <c r="F8" s="80">
        <f>('DCF &amp; Valuation'!D$18/(1+F$4)^'DCF &amp; Valuation'!D$19+'DCF &amp; Valuation'!E$18/(1+F$4)^'DCF &amp; Valuation'!E$19+'DCF &amp; Valuation'!F$18/(1+F$4)^'DCF &amp; Valuation'!F$19+'DCF &amp; Valuation'!G$18/(1+F$4)^'DCF &amp; Valuation'!G$19+'DCF &amp; Valuation'!H$18/(1+F$4)^'DCF &amp; Valuation'!H$19+'DCF &amp; Valuation'!$H$18*(1+$B8)/(F$4-$B8)/(1+F$4)^'DCF &amp; Valuation'!$H$19-'DCF &amp; Valuation'!$C$29)/'DCF &amp; Valuation'!$C$31*'DCF &amp; Valuation'!$C$33</f>
        <v/>
      </c>
      <c r="G8" s="80">
        <f>('DCF &amp; Valuation'!D$18/(1+G$4)^'DCF &amp; Valuation'!D$19+'DCF &amp; Valuation'!E$18/(1+G$4)^'DCF &amp; Valuation'!E$19+'DCF &amp; Valuation'!F$18/(1+G$4)^'DCF &amp; Valuation'!F$19+'DCF &amp; Valuation'!G$18/(1+G$4)^'DCF &amp; Valuation'!G$19+'DCF &amp; Valuation'!H$18/(1+G$4)^'DCF &amp; Valuation'!H$19+'DCF &amp; Valuation'!$H$18*(1+$B8)/(G$4-$B8)/(1+G$4)^'DCF &amp; Valuation'!$H$19-'DCF &amp; Valuation'!$C$29)/'DCF &amp; Valuation'!$C$31*'DCF &amp; Valuation'!$C$33</f>
        <v/>
      </c>
      <c r="H8" s="80">
        <f>('DCF &amp; Valuation'!D$18/(1+H$4)^'DCF &amp; Valuation'!D$19+'DCF &amp; Valuation'!E$18/(1+H$4)^'DCF &amp; Valuation'!E$19+'DCF &amp; Valuation'!F$18/(1+H$4)^'DCF &amp; Valuation'!F$19+'DCF &amp; Valuation'!G$18/(1+H$4)^'DCF &amp; Valuation'!G$19+'DCF &amp; Valuation'!H$18/(1+H$4)^'DCF &amp; Valuation'!H$19+'DCF &amp; Valuation'!$H$18*(1+$B8)/(H$4-$B8)/(1+H$4)^'DCF &amp; Valuation'!$H$19-'DCF &amp; Valuation'!$C$29)/'DCF &amp; Valuation'!$C$31*'DCF &amp; Valuation'!$C$33</f>
        <v/>
      </c>
      <c r="I8" s="80">
        <f>('DCF &amp; Valuation'!D$18/(1+I$4)^'DCF &amp; Valuation'!D$19+'DCF &amp; Valuation'!E$18/(1+I$4)^'DCF &amp; Valuation'!E$19+'DCF &amp; Valuation'!F$18/(1+I$4)^'DCF &amp; Valuation'!F$19+'DCF &amp; Valuation'!G$18/(1+I$4)^'DCF &amp; Valuation'!G$19+'DCF &amp; Valuation'!H$18/(1+I$4)^'DCF &amp; Valuation'!H$19+'DCF &amp; Valuation'!$H$18*(1+$B8)/(I$4-$B8)/(1+I$4)^'DCF &amp; Valuation'!$H$19-'DCF &amp; Valuation'!$C$29)/'DCF &amp; Valuation'!$C$31*'DCF &amp; Valuation'!$C$33</f>
        <v/>
      </c>
    </row>
    <row r="9">
      <c r="B9" s="90">
        <f>Assumptions!$C$40+(2)*Assumptions!$C$50</f>
        <v/>
      </c>
      <c r="C9" s="80">
        <f>('DCF &amp; Valuation'!D$18/(1+C$4)^'DCF &amp; Valuation'!D$19+'DCF &amp; Valuation'!E$18/(1+C$4)^'DCF &amp; Valuation'!E$19+'DCF &amp; Valuation'!F$18/(1+C$4)^'DCF &amp; Valuation'!F$19+'DCF &amp; Valuation'!G$18/(1+C$4)^'DCF &amp; Valuation'!G$19+'DCF &amp; Valuation'!H$18/(1+C$4)^'DCF &amp; Valuation'!H$19+'DCF &amp; Valuation'!$H$18*(1+$B9)/(C$4-$B9)/(1+C$4)^'DCF &amp; Valuation'!$H$19-'DCF &amp; Valuation'!$C$29)/'DCF &amp; Valuation'!$C$31*'DCF &amp; Valuation'!$C$33</f>
        <v/>
      </c>
      <c r="D9" s="80">
        <f>('DCF &amp; Valuation'!D$18/(1+D$4)^'DCF &amp; Valuation'!D$19+'DCF &amp; Valuation'!E$18/(1+D$4)^'DCF &amp; Valuation'!E$19+'DCF &amp; Valuation'!F$18/(1+D$4)^'DCF &amp; Valuation'!F$19+'DCF &amp; Valuation'!G$18/(1+D$4)^'DCF &amp; Valuation'!G$19+'DCF &amp; Valuation'!H$18/(1+D$4)^'DCF &amp; Valuation'!H$19+'DCF &amp; Valuation'!$H$18*(1+$B9)/(D$4-$B9)/(1+D$4)^'DCF &amp; Valuation'!$H$19-'DCF &amp; Valuation'!$C$29)/'DCF &amp; Valuation'!$C$31*'DCF &amp; Valuation'!$C$33</f>
        <v/>
      </c>
      <c r="E9" s="80">
        <f>('DCF &amp; Valuation'!D$18/(1+E$4)^'DCF &amp; Valuation'!D$19+'DCF &amp; Valuation'!E$18/(1+E$4)^'DCF &amp; Valuation'!E$19+'DCF &amp; Valuation'!F$18/(1+E$4)^'DCF &amp; Valuation'!F$19+'DCF &amp; Valuation'!G$18/(1+E$4)^'DCF &amp; Valuation'!G$19+'DCF &amp; Valuation'!H$18/(1+E$4)^'DCF &amp; Valuation'!H$19+'DCF &amp; Valuation'!$H$18*(1+$B9)/(E$4-$B9)/(1+E$4)^'DCF &amp; Valuation'!$H$19-'DCF &amp; Valuation'!$C$29)/'DCF &amp; Valuation'!$C$31*'DCF &amp; Valuation'!$C$33</f>
        <v/>
      </c>
      <c r="F9" s="80">
        <f>('DCF &amp; Valuation'!D$18/(1+F$4)^'DCF &amp; Valuation'!D$19+'DCF &amp; Valuation'!E$18/(1+F$4)^'DCF &amp; Valuation'!E$19+'DCF &amp; Valuation'!F$18/(1+F$4)^'DCF &amp; Valuation'!F$19+'DCF &amp; Valuation'!G$18/(1+F$4)^'DCF &amp; Valuation'!G$19+'DCF &amp; Valuation'!H$18/(1+F$4)^'DCF &amp; Valuation'!H$19+'DCF &amp; Valuation'!$H$18*(1+$B9)/(F$4-$B9)/(1+F$4)^'DCF &amp; Valuation'!$H$19-'DCF &amp; Valuation'!$C$29)/'DCF &amp; Valuation'!$C$31*'DCF &amp; Valuation'!$C$33</f>
        <v/>
      </c>
      <c r="G9" s="80">
        <f>('DCF &amp; Valuation'!D$18/(1+G$4)^'DCF &amp; Valuation'!D$19+'DCF &amp; Valuation'!E$18/(1+G$4)^'DCF &amp; Valuation'!E$19+'DCF &amp; Valuation'!F$18/(1+G$4)^'DCF &amp; Valuation'!F$19+'DCF &amp; Valuation'!G$18/(1+G$4)^'DCF &amp; Valuation'!G$19+'DCF &amp; Valuation'!H$18/(1+G$4)^'DCF &amp; Valuation'!H$19+'DCF &amp; Valuation'!$H$18*(1+$B9)/(G$4-$B9)/(1+G$4)^'DCF &amp; Valuation'!$H$19-'DCF &amp; Valuation'!$C$29)/'DCF &amp; Valuation'!$C$31*'DCF &amp; Valuation'!$C$33</f>
        <v/>
      </c>
      <c r="H9" s="80">
        <f>('DCF &amp; Valuation'!D$18/(1+H$4)^'DCF &amp; Valuation'!D$19+'DCF &amp; Valuation'!E$18/(1+H$4)^'DCF &amp; Valuation'!E$19+'DCF &amp; Valuation'!F$18/(1+H$4)^'DCF &amp; Valuation'!F$19+'DCF &amp; Valuation'!G$18/(1+H$4)^'DCF &amp; Valuation'!G$19+'DCF &amp; Valuation'!H$18/(1+H$4)^'DCF &amp; Valuation'!H$19+'DCF &amp; Valuation'!$H$18*(1+$B9)/(H$4-$B9)/(1+H$4)^'DCF &amp; Valuation'!$H$19-'DCF &amp; Valuation'!$C$29)/'DCF &amp; Valuation'!$C$31*'DCF &amp; Valuation'!$C$33</f>
        <v/>
      </c>
      <c r="I9" s="80">
        <f>('DCF &amp; Valuation'!D$18/(1+I$4)^'DCF &amp; Valuation'!D$19+'DCF &amp; Valuation'!E$18/(1+I$4)^'DCF &amp; Valuation'!E$19+'DCF &amp; Valuation'!F$18/(1+I$4)^'DCF &amp; Valuation'!F$19+'DCF &amp; Valuation'!G$18/(1+I$4)^'DCF &amp; Valuation'!G$19+'DCF &amp; Valuation'!H$18/(1+I$4)^'DCF &amp; Valuation'!H$19+'DCF &amp; Valuation'!$H$18*(1+$B9)/(I$4-$B9)/(1+I$4)^'DCF &amp; Valuation'!$H$19-'DCF &amp; Valuation'!$C$29)/'DCF &amp; Valuation'!$C$31*'DCF &amp; Valuation'!$C$33</f>
        <v/>
      </c>
    </row>
    <row r="10">
      <c r="B10" s="92" t="inlineStr">
        <is>
          <t>Centre = base case (DCF &amp; Valuation!C34).</t>
        </is>
      </c>
    </row>
    <row r="12">
      <c r="B12" s="20" t="inlineStr">
        <is>
          <t>TABLE 2 — Comps Value per Share (USD): EV/EBITDA × FY2026E EBITDA</t>
        </is>
      </c>
    </row>
    <row r="13">
      <c r="B13" s="89" t="inlineStr">
        <is>
          <t>FY2026E EBITDA ↓  |  Multiple →</t>
        </is>
      </c>
      <c r="C13" s="93">
        <f>Assumptions!$C$45+(-3)*Assumptions!$C$51</f>
        <v/>
      </c>
      <c r="D13" s="93">
        <f>Assumptions!$C$45+(-2)*Assumptions!$C$51</f>
        <v/>
      </c>
      <c r="E13" s="93">
        <f>Assumptions!$C$45+(-1)*Assumptions!$C$51</f>
        <v/>
      </c>
      <c r="F13" s="93">
        <f>Assumptions!$C$45+(0)*Assumptions!$C$51</f>
        <v/>
      </c>
      <c r="G13" s="93">
        <f>Assumptions!$C$45+(1)*Assumptions!$C$51</f>
        <v/>
      </c>
      <c r="H13" s="93">
        <f>Assumptions!$C$45+(2)*Assumptions!$C$51</f>
        <v/>
      </c>
      <c r="I13" s="93">
        <f>Assumptions!$C$45+(3)*Assumptions!$C$51</f>
        <v/>
      </c>
    </row>
    <row r="14">
      <c r="B14" s="94">
        <f>'Income Statement'!$F$15*(1+(-2)*Assumptions!$C$52)</f>
        <v/>
      </c>
      <c r="C14" s="80">
        <f>(C$13*$B14-'DCF &amp; Valuation'!$C$29)/'DCF &amp; Valuation'!$C$31*'DCF &amp; Valuation'!$C$33</f>
        <v/>
      </c>
      <c r="D14" s="80">
        <f>(D$13*$B14-'DCF &amp; Valuation'!$C$29)/'DCF &amp; Valuation'!$C$31*'DCF &amp; Valuation'!$C$33</f>
        <v/>
      </c>
      <c r="E14" s="80">
        <f>(E$13*$B14-'DCF &amp; Valuation'!$C$29)/'DCF &amp; Valuation'!$C$31*'DCF &amp; Valuation'!$C$33</f>
        <v/>
      </c>
      <c r="F14" s="80">
        <f>(F$13*$B14-'DCF &amp; Valuation'!$C$29)/'DCF &amp; Valuation'!$C$31*'DCF &amp; Valuation'!$C$33</f>
        <v/>
      </c>
      <c r="G14" s="80">
        <f>(G$13*$B14-'DCF &amp; Valuation'!$C$29)/'DCF &amp; Valuation'!$C$31*'DCF &amp; Valuation'!$C$33</f>
        <v/>
      </c>
      <c r="H14" s="80">
        <f>(H$13*$B14-'DCF &amp; Valuation'!$C$29)/'DCF &amp; Valuation'!$C$31*'DCF &amp; Valuation'!$C$33</f>
        <v/>
      </c>
      <c r="I14" s="80">
        <f>(I$13*$B14-'DCF &amp; Valuation'!$C$29)/'DCF &amp; Valuation'!$C$31*'DCF &amp; Valuation'!$C$33</f>
        <v/>
      </c>
    </row>
    <row r="15">
      <c r="B15" s="94">
        <f>'Income Statement'!$F$15*(1+(-1)*Assumptions!$C$52)</f>
        <v/>
      </c>
      <c r="C15" s="80">
        <f>(C$13*$B15-'DCF &amp; Valuation'!$C$29)/'DCF &amp; Valuation'!$C$31*'DCF &amp; Valuation'!$C$33</f>
        <v/>
      </c>
      <c r="D15" s="80">
        <f>(D$13*$B15-'DCF &amp; Valuation'!$C$29)/'DCF &amp; Valuation'!$C$31*'DCF &amp; Valuation'!$C$33</f>
        <v/>
      </c>
      <c r="E15" s="80">
        <f>(E$13*$B15-'DCF &amp; Valuation'!$C$29)/'DCF &amp; Valuation'!$C$31*'DCF &amp; Valuation'!$C$33</f>
        <v/>
      </c>
      <c r="F15" s="80">
        <f>(F$13*$B15-'DCF &amp; Valuation'!$C$29)/'DCF &amp; Valuation'!$C$31*'DCF &amp; Valuation'!$C$33</f>
        <v/>
      </c>
      <c r="G15" s="80">
        <f>(G$13*$B15-'DCF &amp; Valuation'!$C$29)/'DCF &amp; Valuation'!$C$31*'DCF &amp; Valuation'!$C$33</f>
        <v/>
      </c>
      <c r="H15" s="80">
        <f>(H$13*$B15-'DCF &amp; Valuation'!$C$29)/'DCF &amp; Valuation'!$C$31*'DCF &amp; Valuation'!$C$33</f>
        <v/>
      </c>
      <c r="I15" s="80">
        <f>(I$13*$B15-'DCF &amp; Valuation'!$C$29)/'DCF &amp; Valuation'!$C$31*'DCF &amp; Valuation'!$C$33</f>
        <v/>
      </c>
    </row>
    <row r="16">
      <c r="B16" s="94">
        <f>'Income Statement'!$F$15*(1+(0)*Assumptions!$C$52)</f>
        <v/>
      </c>
      <c r="C16" s="80">
        <f>(C$13*$B16-'DCF &amp; Valuation'!$C$29)/'DCF &amp; Valuation'!$C$31*'DCF &amp; Valuation'!$C$33</f>
        <v/>
      </c>
      <c r="D16" s="80">
        <f>(D$13*$B16-'DCF &amp; Valuation'!$C$29)/'DCF &amp; Valuation'!$C$31*'DCF &amp; Valuation'!$C$33</f>
        <v/>
      </c>
      <c r="E16" s="80">
        <f>(E$13*$B16-'DCF &amp; Valuation'!$C$29)/'DCF &amp; Valuation'!$C$31*'DCF &amp; Valuation'!$C$33</f>
        <v/>
      </c>
      <c r="F16" s="91">
        <f>(F$13*$B16-'DCF &amp; Valuation'!$C$29)/'DCF &amp; Valuation'!$C$31*'DCF &amp; Valuation'!$C$33</f>
        <v/>
      </c>
      <c r="G16" s="80">
        <f>(G$13*$B16-'DCF &amp; Valuation'!$C$29)/'DCF &amp; Valuation'!$C$31*'DCF &amp; Valuation'!$C$33</f>
        <v/>
      </c>
      <c r="H16" s="80">
        <f>(H$13*$B16-'DCF &amp; Valuation'!$C$29)/'DCF &amp; Valuation'!$C$31*'DCF &amp; Valuation'!$C$33</f>
        <v/>
      </c>
      <c r="I16" s="80">
        <f>(I$13*$B16-'DCF &amp; Valuation'!$C$29)/'DCF &amp; Valuation'!$C$31*'DCF &amp; Valuation'!$C$33</f>
        <v/>
      </c>
    </row>
    <row r="17">
      <c r="B17" s="94">
        <f>'Income Statement'!$F$15*(1+(1)*Assumptions!$C$52)</f>
        <v/>
      </c>
      <c r="C17" s="80">
        <f>(C$13*$B17-'DCF &amp; Valuation'!$C$29)/'DCF &amp; Valuation'!$C$31*'DCF &amp; Valuation'!$C$33</f>
        <v/>
      </c>
      <c r="D17" s="80">
        <f>(D$13*$B17-'DCF &amp; Valuation'!$C$29)/'DCF &amp; Valuation'!$C$31*'DCF &amp; Valuation'!$C$33</f>
        <v/>
      </c>
      <c r="E17" s="80">
        <f>(E$13*$B17-'DCF &amp; Valuation'!$C$29)/'DCF &amp; Valuation'!$C$31*'DCF &amp; Valuation'!$C$33</f>
        <v/>
      </c>
      <c r="F17" s="80">
        <f>(F$13*$B17-'DCF &amp; Valuation'!$C$29)/'DCF &amp; Valuation'!$C$31*'DCF &amp; Valuation'!$C$33</f>
        <v/>
      </c>
      <c r="G17" s="80">
        <f>(G$13*$B17-'DCF &amp; Valuation'!$C$29)/'DCF &amp; Valuation'!$C$31*'DCF &amp; Valuation'!$C$33</f>
        <v/>
      </c>
      <c r="H17" s="80">
        <f>(H$13*$B17-'DCF &amp; Valuation'!$C$29)/'DCF &amp; Valuation'!$C$31*'DCF &amp; Valuation'!$C$33</f>
        <v/>
      </c>
      <c r="I17" s="80">
        <f>(I$13*$B17-'DCF &amp; Valuation'!$C$29)/'DCF &amp; Valuation'!$C$31*'DCF &amp; Valuation'!$C$33</f>
        <v/>
      </c>
    </row>
    <row r="18">
      <c r="B18" s="94">
        <f>'Income Statement'!$F$15*(1+(2)*Assumptions!$C$52)</f>
        <v/>
      </c>
      <c r="C18" s="80">
        <f>(C$13*$B18-'DCF &amp; Valuation'!$C$29)/'DCF &amp; Valuation'!$C$31*'DCF &amp; Valuation'!$C$33</f>
        <v/>
      </c>
      <c r="D18" s="80">
        <f>(D$13*$B18-'DCF &amp; Valuation'!$C$29)/'DCF &amp; Valuation'!$C$31*'DCF &amp; Valuation'!$C$33</f>
        <v/>
      </c>
      <c r="E18" s="80">
        <f>(E$13*$B18-'DCF &amp; Valuation'!$C$29)/'DCF &amp; Valuation'!$C$31*'DCF &amp; Valuation'!$C$33</f>
        <v/>
      </c>
      <c r="F18" s="80">
        <f>(F$13*$B18-'DCF &amp; Valuation'!$C$29)/'DCF &amp; Valuation'!$C$31*'DCF &amp; Valuation'!$C$33</f>
        <v/>
      </c>
      <c r="G18" s="80">
        <f>(G$13*$B18-'DCF &amp; Valuation'!$C$29)/'DCF &amp; Valuation'!$C$31*'DCF &amp; Valuation'!$C$33</f>
        <v/>
      </c>
      <c r="H18" s="80">
        <f>(H$13*$B18-'DCF &amp; Valuation'!$C$29)/'DCF &amp; Valuation'!$C$31*'DCF &amp; Valuation'!$C$33</f>
        <v/>
      </c>
      <c r="I18" s="80">
        <f>(I$13*$B18-'DCF &amp; Valuation'!$C$29)/'DCF &amp; Valuation'!$C$31*'DCF &amp; Valuation'!$C$33</f>
        <v/>
      </c>
    </row>
    <row r="19">
      <c r="B19" s="92" t="inlineStr">
        <is>
          <t>Centre = comps value at target multiple (DCF &amp; Valuation!F56).</t>
        </is>
      </c>
    </row>
    <row r="21">
      <c r="B21" s="20" t="inlineStr">
        <is>
          <t>TABLE 3 — Bear / Base / Bull  (full re-projection, engine below)</t>
        </is>
      </c>
    </row>
    <row r="22">
      <c r="B22" s="27" t="inlineStr">
        <is>
          <t>Metric</t>
        </is>
      </c>
      <c r="C22" s="54" t="inlineStr">
        <is>
          <t>Bear</t>
        </is>
      </c>
      <c r="E22" s="29" t="inlineStr">
        <is>
          <t>Base</t>
        </is>
      </c>
      <c r="G22" s="55" t="inlineStr">
        <is>
          <t>Bull</t>
        </is>
      </c>
    </row>
    <row r="23">
      <c r="B23" s="30" t="inlineStr">
        <is>
          <t>Revenue CAGR FY2025A–FY2030E</t>
        </is>
      </c>
      <c r="C23" s="35">
        <f>(H37/C37)^(1/5)-1</f>
        <v/>
      </c>
      <c r="E23" s="35">
        <f>(H49/C49)^(1/5)-1</f>
        <v/>
      </c>
      <c r="G23" s="35">
        <f>(H61/C61)^(1/5)-1</f>
        <v/>
      </c>
    </row>
    <row r="24">
      <c r="B24" s="30" t="inlineStr">
        <is>
          <t>FY2030E EBITDA Margin</t>
        </is>
      </c>
      <c r="C24" s="35">
        <f>H38/H37</f>
        <v/>
      </c>
      <c r="E24" s="35">
        <f>H50/H49</f>
        <v/>
      </c>
      <c r="G24" s="35">
        <f>H62/H61</f>
        <v/>
      </c>
    </row>
    <row r="25">
      <c r="B25" s="30" t="inlineStr">
        <is>
          <t>WACC</t>
        </is>
      </c>
      <c r="C25" s="56">
        <f>I44</f>
        <v/>
      </c>
      <c r="E25" s="56">
        <f>I56</f>
        <v/>
      </c>
      <c r="G25" s="56">
        <f>I68</f>
        <v/>
      </c>
    </row>
    <row r="26">
      <c r="B26" s="30" t="inlineStr">
        <is>
          <t>Terminal Growth</t>
        </is>
      </c>
      <c r="C26" s="56">
        <f>I45</f>
        <v/>
      </c>
      <c r="E26" s="56">
        <f>I57</f>
        <v/>
      </c>
      <c r="G26" s="56">
        <f>I69</f>
        <v/>
      </c>
    </row>
    <row r="27">
      <c r="B27" s="37" t="inlineStr">
        <is>
          <t>DCF Value (USD)</t>
        </is>
      </c>
      <c r="C27" s="80">
        <f>C46</f>
        <v/>
      </c>
      <c r="E27" s="80">
        <f>C58</f>
        <v/>
      </c>
      <c r="G27" s="80">
        <f>C70</f>
        <v/>
      </c>
    </row>
    <row r="28">
      <c r="B28" s="37" t="inlineStr">
        <is>
          <t>Comps Value (USD)</t>
        </is>
      </c>
      <c r="C28" s="80">
        <f>C47</f>
        <v/>
      </c>
      <c r="E28" s="80">
        <f>C59</f>
        <v/>
      </c>
      <c r="G28" s="80">
        <f>C71</f>
        <v/>
      </c>
    </row>
    <row r="29">
      <c r="B29" s="37" t="inlineStr">
        <is>
          <t>Blended Value (USD)</t>
        </is>
      </c>
      <c r="C29" s="95">
        <f>Assumptions!$C$43*C46+Assumptions!$C$44*C47</f>
        <v/>
      </c>
      <c r="E29" s="95">
        <f>Assumptions!$C$43*C58+Assumptions!$C$44*C59</f>
        <v/>
      </c>
      <c r="G29" s="95">
        <f>Assumptions!$C$43*C70+Assumptions!$C$44*C71</f>
        <v/>
      </c>
    </row>
    <row r="30">
      <c r="B30" s="30" t="inlineStr">
        <is>
          <t>vs. Current Price</t>
        </is>
      </c>
      <c r="C30" s="35">
        <f>(Assumptions!$C$43*C46+Assumptions!$C$44*C47)/Assumptions!$C$26-1</f>
        <v/>
      </c>
      <c r="E30" s="35">
        <f>(Assumptions!$C$43*C58+Assumptions!$C$44*C59)/Assumptions!$C$26-1</f>
        <v/>
      </c>
      <c r="G30" s="35">
        <f>(Assumptions!$C$43*C70+Assumptions!$C$44*C71)/Assumptions!$C$26-1</f>
        <v/>
      </c>
    </row>
    <row r="31">
      <c r="B31" s="92" t="inlineStr">
        <is>
          <t>Check: Base blended − DCF &amp; Valuation!C63 (must be 0)</t>
        </is>
      </c>
      <c r="E31" s="96">
        <f>ROUND(Assumptions!$C$43*C58+Assumptions!$C$44*C59-'DCF &amp; Valuation'!C63,6)</f>
        <v/>
      </c>
    </row>
    <row r="34">
      <c r="B34" s="97" t="inlineStr">
        <is>
          <t>SCENARIO ENGINE (supporting calculations)</t>
        </is>
      </c>
    </row>
    <row r="35">
      <c r="B35" s="27" t="inlineStr"/>
      <c r="C35" s="28" t="inlineStr">
        <is>
          <t>FY2025A</t>
        </is>
      </c>
      <c r="D35" s="28" t="inlineStr">
        <is>
          <t>FY2026E</t>
        </is>
      </c>
      <c r="E35" s="28" t="inlineStr">
        <is>
          <t>FY2027E</t>
        </is>
      </c>
      <c r="F35" s="28" t="inlineStr">
        <is>
          <t>FY2028E</t>
        </is>
      </c>
      <c r="G35" s="28" t="inlineStr">
        <is>
          <t>FY2029E</t>
        </is>
      </c>
      <c r="H35" s="28" t="inlineStr">
        <is>
          <t>FY2030E</t>
        </is>
      </c>
      <c r="I35" s="28" t="inlineStr">
        <is>
          <t>WACC / g</t>
        </is>
      </c>
    </row>
    <row r="36">
      <c r="B36" s="37" t="inlineStr">
        <is>
          <t>Bear · Cars &amp; Spare Parts</t>
        </is>
      </c>
      <c r="C36" s="59">
        <f>Assumptions!$E$8</f>
        <v/>
      </c>
      <c r="D36" s="32">
        <f>C36*(1+Assumptions!F$6+Assumptions!$C$65)*(1+Assumptions!F$7+Assumptions!$C$66)</f>
        <v/>
      </c>
      <c r="E36" s="32">
        <f>D36*(1+Assumptions!G$6+Assumptions!$C$65)*(1+Assumptions!G$7+Assumptions!$C$66)</f>
        <v/>
      </c>
      <c r="F36" s="32">
        <f>E36*(1+Assumptions!H$6+Assumptions!$C$65)*(1+Assumptions!H$7+Assumptions!$C$66)</f>
        <v/>
      </c>
      <c r="G36" s="32">
        <f>F36*(1+Assumptions!I$6+Assumptions!$C$65)*(1+Assumptions!I$7+Assumptions!$C$66)</f>
        <v/>
      </c>
      <c r="H36" s="32">
        <f>G36*(1+Assumptions!J$6+Assumptions!$C$65)*(1+Assumptions!J$7+Assumptions!$C$66)</f>
        <v/>
      </c>
    </row>
    <row r="37">
      <c r="B37" s="30" t="inlineStr">
        <is>
          <t xml:space="preserve">   Total revenue</t>
        </is>
      </c>
      <c r="C37" s="59">
        <f>Assumptions!$E$12</f>
        <v/>
      </c>
      <c r="D37" s="32">
        <f>D36+Assumptions!F$9+Assumptions!F$10+Assumptions!F$11</f>
        <v/>
      </c>
      <c r="E37" s="32">
        <f>E36+Assumptions!G$9+Assumptions!G$10+Assumptions!G$11</f>
        <v/>
      </c>
      <c r="F37" s="32">
        <f>F36+Assumptions!H$9+Assumptions!H$10+Assumptions!H$11</f>
        <v/>
      </c>
      <c r="G37" s="32">
        <f>G36+Assumptions!I$9+Assumptions!I$10+Assumptions!I$11</f>
        <v/>
      </c>
      <c r="H37" s="32">
        <f>H36+Assumptions!J$9+Assumptions!J$10+Assumptions!J$11</f>
        <v/>
      </c>
    </row>
    <row r="38">
      <c r="B38" s="30" t="inlineStr">
        <is>
          <t xml:space="preserve">   EBITDA</t>
        </is>
      </c>
      <c r="D38" s="32">
        <f>D37*(Assumptions!F$17+Assumptions!$C$67)</f>
        <v/>
      </c>
      <c r="E38" s="32">
        <f>E37*(Assumptions!G$17+Assumptions!$C$67)</f>
        <v/>
      </c>
      <c r="F38" s="32">
        <f>F37*(Assumptions!H$17+Assumptions!$C$67)</f>
        <v/>
      </c>
      <c r="G38" s="32">
        <f>G37*(Assumptions!I$17+Assumptions!$C$67)</f>
        <v/>
      </c>
      <c r="H38" s="32">
        <f>H37*(Assumptions!J$17+Assumptions!$C$67)</f>
        <v/>
      </c>
    </row>
    <row r="39">
      <c r="B39" s="30" t="inlineStr">
        <is>
          <t xml:space="preserve">   D&amp;A</t>
        </is>
      </c>
      <c r="D39" s="32">
        <f>Assumptions!F$18</f>
        <v/>
      </c>
      <c r="E39" s="32">
        <f>Assumptions!G$18</f>
        <v/>
      </c>
      <c r="F39" s="32">
        <f>Assumptions!H$18</f>
        <v/>
      </c>
      <c r="G39" s="32">
        <f>Assumptions!I$18</f>
        <v/>
      </c>
      <c r="H39" s="32">
        <f>Assumptions!J$18</f>
        <v/>
      </c>
    </row>
    <row r="40">
      <c r="B40" s="30" t="inlineStr">
        <is>
          <t xml:space="preserve">   EBIT</t>
        </is>
      </c>
      <c r="D40" s="32">
        <f>D38-D39</f>
        <v/>
      </c>
      <c r="E40" s="32">
        <f>E38-E39</f>
        <v/>
      </c>
      <c r="F40" s="32">
        <f>F38-F39</f>
        <v/>
      </c>
      <c r="G40" s="32">
        <f>G38-G39</f>
        <v/>
      </c>
      <c r="H40" s="32">
        <f>H38-H39</f>
        <v/>
      </c>
    </row>
    <row r="41">
      <c r="B41" s="30" t="inlineStr">
        <is>
          <t xml:space="preserve">   Taxes</t>
        </is>
      </c>
      <c r="D41" s="32">
        <f>-D40*Assumptions!F$21</f>
        <v/>
      </c>
      <c r="E41" s="32">
        <f>-E40*Assumptions!G$21</f>
        <v/>
      </c>
      <c r="F41" s="32">
        <f>-F40*Assumptions!H$21</f>
        <v/>
      </c>
      <c r="G41" s="32">
        <f>-G40*Assumptions!I$21</f>
        <v/>
      </c>
      <c r="H41" s="32">
        <f>-H40*Assumptions!J$21</f>
        <v/>
      </c>
    </row>
    <row r="42">
      <c r="B42" s="30" t="inlineStr">
        <is>
          <t xml:space="preserve">   Unlevered FCF</t>
        </is>
      </c>
      <c r="D42" s="32">
        <f>D40+D41+D39-Assumptions!F$19-Assumptions!F$20</f>
        <v/>
      </c>
      <c r="E42" s="32">
        <f>E40+E41+E39-Assumptions!G$19-Assumptions!G$20</f>
        <v/>
      </c>
      <c r="F42" s="32">
        <f>F40+F41+F39-Assumptions!H$19-Assumptions!H$20</f>
        <v/>
      </c>
      <c r="G42" s="32">
        <f>G40+G41+G39-Assumptions!I$19-Assumptions!I$20</f>
        <v/>
      </c>
      <c r="H42" s="32">
        <f>H40+H41+H39-Assumptions!J$19-Assumptions!J$20</f>
        <v/>
      </c>
    </row>
    <row r="43">
      <c r="B43" s="30" t="inlineStr">
        <is>
          <t xml:space="preserve">   PV of FCF</t>
        </is>
      </c>
      <c r="D43" s="32">
        <f>D42/(1+$I$44)^'DCF &amp; Valuation'!D$19</f>
        <v/>
      </c>
      <c r="E43" s="32">
        <f>E42/(1+$I$44)^'DCF &amp; Valuation'!E$19</f>
        <v/>
      </c>
      <c r="F43" s="32">
        <f>F42/(1+$I$44)^'DCF &amp; Valuation'!F$19</f>
        <v/>
      </c>
      <c r="G43" s="32">
        <f>G42/(1+$I$44)^'DCF &amp; Valuation'!G$19</f>
        <v/>
      </c>
      <c r="H43" s="32">
        <f>H42/(1+$I$44)^'DCF &amp; Valuation'!H$19</f>
        <v/>
      </c>
    </row>
    <row r="44">
      <c r="B44" s="30" t="inlineStr">
        <is>
          <t xml:space="preserve">   (WACC)</t>
        </is>
      </c>
      <c r="I44" s="56">
        <f>'DCF &amp; Valuation'!$C$14+Assumptions!$C$68</f>
        <v/>
      </c>
    </row>
    <row r="45">
      <c r="B45" s="30" t="inlineStr">
        <is>
          <t xml:space="preserve">   (Terminal g)</t>
        </is>
      </c>
      <c r="I45" s="56">
        <f>Assumptions!$C$69</f>
        <v/>
      </c>
    </row>
    <row r="46">
      <c r="B46" s="37" t="inlineStr">
        <is>
          <t xml:space="preserve">   Bear DCF value (USD)</t>
        </is>
      </c>
      <c r="C46" s="70">
        <f>(SUM(D43:H43)+H42*(1+$I$45)/($I$44-$I$45)/(1+$I$44)^'DCF &amp; Valuation'!$H$19-'DCF &amp; Valuation'!$C$29)/'DCF &amp; Valuation'!$C$31*'DCF &amp; Valuation'!$C$33</f>
        <v/>
      </c>
    </row>
    <row r="47">
      <c r="B47" s="37" t="inlineStr">
        <is>
          <t xml:space="preserve">   Bear comps value (USD)</t>
        </is>
      </c>
      <c r="C47" s="70">
        <f>(Assumptions!$C$70*D38-'DCF &amp; Valuation'!$C$29)/'DCF &amp; Valuation'!$C$31*'DCF &amp; Valuation'!$C$33</f>
        <v/>
      </c>
    </row>
    <row r="48">
      <c r="B48" s="37" t="inlineStr">
        <is>
          <t>Base · Cars &amp; Spare Parts</t>
        </is>
      </c>
      <c r="C48" s="59">
        <f>Assumptions!$E$8</f>
        <v/>
      </c>
      <c r="D48" s="32">
        <f>C48*(1+Assumptions!F$6+Assumptions!$D$65)*(1+Assumptions!F$7+Assumptions!$D$66)</f>
        <v/>
      </c>
      <c r="E48" s="32">
        <f>D48*(1+Assumptions!G$6+Assumptions!$D$65)*(1+Assumptions!G$7+Assumptions!$D$66)</f>
        <v/>
      </c>
      <c r="F48" s="32">
        <f>E48*(1+Assumptions!H$6+Assumptions!$D$65)*(1+Assumptions!H$7+Assumptions!$D$66)</f>
        <v/>
      </c>
      <c r="G48" s="32">
        <f>F48*(1+Assumptions!I$6+Assumptions!$D$65)*(1+Assumptions!I$7+Assumptions!$D$66)</f>
        <v/>
      </c>
      <c r="H48" s="32">
        <f>G48*(1+Assumptions!J$6+Assumptions!$D$65)*(1+Assumptions!J$7+Assumptions!$D$66)</f>
        <v/>
      </c>
    </row>
    <row r="49">
      <c r="B49" s="30" t="inlineStr">
        <is>
          <t xml:space="preserve">   Total revenue</t>
        </is>
      </c>
      <c r="C49" s="59">
        <f>Assumptions!$E$12</f>
        <v/>
      </c>
      <c r="D49" s="32">
        <f>D48+Assumptions!F$9+Assumptions!F$10+Assumptions!F$11</f>
        <v/>
      </c>
      <c r="E49" s="32">
        <f>E48+Assumptions!G$9+Assumptions!G$10+Assumptions!G$11</f>
        <v/>
      </c>
      <c r="F49" s="32">
        <f>F48+Assumptions!H$9+Assumptions!H$10+Assumptions!H$11</f>
        <v/>
      </c>
      <c r="G49" s="32">
        <f>G48+Assumptions!I$9+Assumptions!I$10+Assumptions!I$11</f>
        <v/>
      </c>
      <c r="H49" s="32">
        <f>H48+Assumptions!J$9+Assumptions!J$10+Assumptions!J$11</f>
        <v/>
      </c>
    </row>
    <row r="50">
      <c r="B50" s="30" t="inlineStr">
        <is>
          <t xml:space="preserve">   EBITDA</t>
        </is>
      </c>
      <c r="D50" s="32">
        <f>D49*(Assumptions!F$17+Assumptions!$D$67)</f>
        <v/>
      </c>
      <c r="E50" s="32">
        <f>E49*(Assumptions!G$17+Assumptions!$D$67)</f>
        <v/>
      </c>
      <c r="F50" s="32">
        <f>F49*(Assumptions!H$17+Assumptions!$D$67)</f>
        <v/>
      </c>
      <c r="G50" s="32">
        <f>G49*(Assumptions!I$17+Assumptions!$D$67)</f>
        <v/>
      </c>
      <c r="H50" s="32">
        <f>H49*(Assumptions!J$17+Assumptions!$D$67)</f>
        <v/>
      </c>
    </row>
    <row r="51">
      <c r="B51" s="30" t="inlineStr">
        <is>
          <t xml:space="preserve">   D&amp;A</t>
        </is>
      </c>
      <c r="D51" s="32">
        <f>Assumptions!F$18</f>
        <v/>
      </c>
      <c r="E51" s="32">
        <f>Assumptions!G$18</f>
        <v/>
      </c>
      <c r="F51" s="32">
        <f>Assumptions!H$18</f>
        <v/>
      </c>
      <c r="G51" s="32">
        <f>Assumptions!I$18</f>
        <v/>
      </c>
      <c r="H51" s="32">
        <f>Assumptions!J$18</f>
        <v/>
      </c>
    </row>
    <row r="52">
      <c r="B52" s="30" t="inlineStr">
        <is>
          <t xml:space="preserve">   EBIT</t>
        </is>
      </c>
      <c r="D52" s="32">
        <f>D50-D51</f>
        <v/>
      </c>
      <c r="E52" s="32">
        <f>E50-E51</f>
        <v/>
      </c>
      <c r="F52" s="32">
        <f>F50-F51</f>
        <v/>
      </c>
      <c r="G52" s="32">
        <f>G50-G51</f>
        <v/>
      </c>
      <c r="H52" s="32">
        <f>H50-H51</f>
        <v/>
      </c>
    </row>
    <row r="53">
      <c r="B53" s="30" t="inlineStr">
        <is>
          <t xml:space="preserve">   Taxes</t>
        </is>
      </c>
      <c r="D53" s="32">
        <f>-D52*Assumptions!F$21</f>
        <v/>
      </c>
      <c r="E53" s="32">
        <f>-E52*Assumptions!G$21</f>
        <v/>
      </c>
      <c r="F53" s="32">
        <f>-F52*Assumptions!H$21</f>
        <v/>
      </c>
      <c r="G53" s="32">
        <f>-G52*Assumptions!I$21</f>
        <v/>
      </c>
      <c r="H53" s="32">
        <f>-H52*Assumptions!J$21</f>
        <v/>
      </c>
    </row>
    <row r="54">
      <c r="B54" s="30" t="inlineStr">
        <is>
          <t xml:space="preserve">   Unlevered FCF</t>
        </is>
      </c>
      <c r="D54" s="32">
        <f>D52+D53+D51-Assumptions!F$19-Assumptions!F$20</f>
        <v/>
      </c>
      <c r="E54" s="32">
        <f>E52+E53+E51-Assumptions!G$19-Assumptions!G$20</f>
        <v/>
      </c>
      <c r="F54" s="32">
        <f>F52+F53+F51-Assumptions!H$19-Assumptions!H$20</f>
        <v/>
      </c>
      <c r="G54" s="32">
        <f>G52+G53+G51-Assumptions!I$19-Assumptions!I$20</f>
        <v/>
      </c>
      <c r="H54" s="32">
        <f>H52+H53+H51-Assumptions!J$19-Assumptions!J$20</f>
        <v/>
      </c>
    </row>
    <row r="55">
      <c r="B55" s="30" t="inlineStr">
        <is>
          <t xml:space="preserve">   PV of FCF</t>
        </is>
      </c>
      <c r="D55" s="32">
        <f>D54/(1+$I$56)^'DCF &amp; Valuation'!D$19</f>
        <v/>
      </c>
      <c r="E55" s="32">
        <f>E54/(1+$I$56)^'DCF &amp; Valuation'!E$19</f>
        <v/>
      </c>
      <c r="F55" s="32">
        <f>F54/(1+$I$56)^'DCF &amp; Valuation'!F$19</f>
        <v/>
      </c>
      <c r="G55" s="32">
        <f>G54/(1+$I$56)^'DCF &amp; Valuation'!G$19</f>
        <v/>
      </c>
      <c r="H55" s="32">
        <f>H54/(1+$I$56)^'DCF &amp; Valuation'!H$19</f>
        <v/>
      </c>
    </row>
    <row r="56">
      <c r="B56" s="30" t="inlineStr">
        <is>
          <t xml:space="preserve">   (WACC)</t>
        </is>
      </c>
      <c r="I56" s="56">
        <f>'DCF &amp; Valuation'!$C$14+Assumptions!$D$68</f>
        <v/>
      </c>
    </row>
    <row r="57">
      <c r="B57" s="30" t="inlineStr">
        <is>
          <t xml:space="preserve">   (Terminal g)</t>
        </is>
      </c>
      <c r="I57" s="56">
        <f>Assumptions!$D$69</f>
        <v/>
      </c>
    </row>
    <row r="58">
      <c r="B58" s="37" t="inlineStr">
        <is>
          <t xml:space="preserve">   Base DCF value (USD)</t>
        </is>
      </c>
      <c r="C58" s="70">
        <f>(SUM(D55:H55)+H54*(1+$I$57)/($I$56-$I$57)/(1+$I$56)^'DCF &amp; Valuation'!$H$19-'DCF &amp; Valuation'!$C$29)/'DCF &amp; Valuation'!$C$31*'DCF &amp; Valuation'!$C$33</f>
        <v/>
      </c>
    </row>
    <row r="59">
      <c r="B59" s="37" t="inlineStr">
        <is>
          <t xml:space="preserve">   Base comps value (USD)</t>
        </is>
      </c>
      <c r="C59" s="70">
        <f>(Assumptions!$D$70*D50-'DCF &amp; Valuation'!$C$29)/'DCF &amp; Valuation'!$C$31*'DCF &amp; Valuation'!$C$33</f>
        <v/>
      </c>
    </row>
    <row r="60">
      <c r="B60" s="37" t="inlineStr">
        <is>
          <t>Bull · Cars &amp; Spare Parts</t>
        </is>
      </c>
      <c r="C60" s="59">
        <f>Assumptions!$E$8</f>
        <v/>
      </c>
      <c r="D60" s="32">
        <f>C60*(1+Assumptions!F$6+Assumptions!$E$65)*(1+Assumptions!F$7+Assumptions!$E$66)</f>
        <v/>
      </c>
      <c r="E60" s="32">
        <f>D60*(1+Assumptions!G$6+Assumptions!$E$65)*(1+Assumptions!G$7+Assumptions!$E$66)</f>
        <v/>
      </c>
      <c r="F60" s="32">
        <f>E60*(1+Assumptions!H$6+Assumptions!$E$65)*(1+Assumptions!H$7+Assumptions!$E$66)</f>
        <v/>
      </c>
      <c r="G60" s="32">
        <f>F60*(1+Assumptions!I$6+Assumptions!$E$65)*(1+Assumptions!I$7+Assumptions!$E$66)</f>
        <v/>
      </c>
      <c r="H60" s="32">
        <f>G60*(1+Assumptions!J$6+Assumptions!$E$65)*(1+Assumptions!J$7+Assumptions!$E$66)</f>
        <v/>
      </c>
    </row>
    <row r="61">
      <c r="B61" s="30" t="inlineStr">
        <is>
          <t xml:space="preserve">   Total revenue</t>
        </is>
      </c>
      <c r="C61" s="59">
        <f>Assumptions!$E$12</f>
        <v/>
      </c>
      <c r="D61" s="32">
        <f>D60+Assumptions!F$9+Assumptions!F$10+Assumptions!F$11</f>
        <v/>
      </c>
      <c r="E61" s="32">
        <f>E60+Assumptions!G$9+Assumptions!G$10+Assumptions!G$11</f>
        <v/>
      </c>
      <c r="F61" s="32">
        <f>F60+Assumptions!H$9+Assumptions!H$10+Assumptions!H$11</f>
        <v/>
      </c>
      <c r="G61" s="32">
        <f>G60+Assumptions!I$9+Assumptions!I$10+Assumptions!I$11</f>
        <v/>
      </c>
      <c r="H61" s="32">
        <f>H60+Assumptions!J$9+Assumptions!J$10+Assumptions!J$11</f>
        <v/>
      </c>
    </row>
    <row r="62">
      <c r="B62" s="30" t="inlineStr">
        <is>
          <t xml:space="preserve">   EBITDA</t>
        </is>
      </c>
      <c r="D62" s="32">
        <f>D61*(Assumptions!F$17+Assumptions!$E$67)</f>
        <v/>
      </c>
      <c r="E62" s="32">
        <f>E61*(Assumptions!G$17+Assumptions!$E$67)</f>
        <v/>
      </c>
      <c r="F62" s="32">
        <f>F61*(Assumptions!H$17+Assumptions!$E$67)</f>
        <v/>
      </c>
      <c r="G62" s="32">
        <f>G61*(Assumptions!I$17+Assumptions!$E$67)</f>
        <v/>
      </c>
      <c r="H62" s="32">
        <f>H61*(Assumptions!J$17+Assumptions!$E$67)</f>
        <v/>
      </c>
    </row>
    <row r="63">
      <c r="B63" s="30" t="inlineStr">
        <is>
          <t xml:space="preserve">   D&amp;A</t>
        </is>
      </c>
      <c r="D63" s="32">
        <f>Assumptions!F$18</f>
        <v/>
      </c>
      <c r="E63" s="32">
        <f>Assumptions!G$18</f>
        <v/>
      </c>
      <c r="F63" s="32">
        <f>Assumptions!H$18</f>
        <v/>
      </c>
      <c r="G63" s="32">
        <f>Assumptions!I$18</f>
        <v/>
      </c>
      <c r="H63" s="32">
        <f>Assumptions!J$18</f>
        <v/>
      </c>
    </row>
    <row r="64">
      <c r="B64" s="30" t="inlineStr">
        <is>
          <t xml:space="preserve">   EBIT</t>
        </is>
      </c>
      <c r="D64" s="32">
        <f>D62-D63</f>
        <v/>
      </c>
      <c r="E64" s="32">
        <f>E62-E63</f>
        <v/>
      </c>
      <c r="F64" s="32">
        <f>F62-F63</f>
        <v/>
      </c>
      <c r="G64" s="32">
        <f>G62-G63</f>
        <v/>
      </c>
      <c r="H64" s="32">
        <f>H62-H63</f>
        <v/>
      </c>
    </row>
    <row r="65">
      <c r="B65" s="30" t="inlineStr">
        <is>
          <t xml:space="preserve">   Taxes</t>
        </is>
      </c>
      <c r="D65" s="32">
        <f>-D64*Assumptions!F$21</f>
        <v/>
      </c>
      <c r="E65" s="32">
        <f>-E64*Assumptions!G$21</f>
        <v/>
      </c>
      <c r="F65" s="32">
        <f>-F64*Assumptions!H$21</f>
        <v/>
      </c>
      <c r="G65" s="32">
        <f>-G64*Assumptions!I$21</f>
        <v/>
      </c>
      <c r="H65" s="32">
        <f>-H64*Assumptions!J$21</f>
        <v/>
      </c>
    </row>
    <row r="66">
      <c r="B66" s="30" t="inlineStr">
        <is>
          <t xml:space="preserve">   Unlevered FCF</t>
        </is>
      </c>
      <c r="D66" s="32">
        <f>D64+D65+D63-Assumptions!F$19-Assumptions!F$20</f>
        <v/>
      </c>
      <c r="E66" s="32">
        <f>E64+E65+E63-Assumptions!G$19-Assumptions!G$20</f>
        <v/>
      </c>
      <c r="F66" s="32">
        <f>F64+F65+F63-Assumptions!H$19-Assumptions!H$20</f>
        <v/>
      </c>
      <c r="G66" s="32">
        <f>G64+G65+G63-Assumptions!I$19-Assumptions!I$20</f>
        <v/>
      </c>
      <c r="H66" s="32">
        <f>H64+H65+H63-Assumptions!J$19-Assumptions!J$20</f>
        <v/>
      </c>
    </row>
    <row r="67">
      <c r="B67" s="30" t="inlineStr">
        <is>
          <t xml:space="preserve">   PV of FCF</t>
        </is>
      </c>
      <c r="D67" s="32">
        <f>D66/(1+$I$68)^'DCF &amp; Valuation'!D$19</f>
        <v/>
      </c>
      <c r="E67" s="32">
        <f>E66/(1+$I$68)^'DCF &amp; Valuation'!E$19</f>
        <v/>
      </c>
      <c r="F67" s="32">
        <f>F66/(1+$I$68)^'DCF &amp; Valuation'!F$19</f>
        <v/>
      </c>
      <c r="G67" s="32">
        <f>G66/(1+$I$68)^'DCF &amp; Valuation'!G$19</f>
        <v/>
      </c>
      <c r="H67" s="32">
        <f>H66/(1+$I$68)^'DCF &amp; Valuation'!H$19</f>
        <v/>
      </c>
    </row>
    <row r="68">
      <c r="B68" s="30" t="inlineStr">
        <is>
          <t xml:space="preserve">   (WACC)</t>
        </is>
      </c>
      <c r="I68" s="56">
        <f>'DCF &amp; Valuation'!$C$14+Assumptions!$E$68</f>
        <v/>
      </c>
    </row>
    <row r="69">
      <c r="B69" s="30" t="inlineStr">
        <is>
          <t xml:space="preserve">   (Terminal g)</t>
        </is>
      </c>
      <c r="I69" s="56">
        <f>Assumptions!$E$69</f>
        <v/>
      </c>
    </row>
    <row r="70">
      <c r="B70" s="37" t="inlineStr">
        <is>
          <t xml:space="preserve">   Bull DCF value (USD)</t>
        </is>
      </c>
      <c r="C70" s="70">
        <f>(SUM(D67:H67)+H66*(1+$I$69)/($I$68-$I$69)/(1+$I$68)^'DCF &amp; Valuation'!$H$19-'DCF &amp; Valuation'!$C$29)/'DCF &amp; Valuation'!$C$31*'DCF &amp; Valuation'!$C$33</f>
        <v/>
      </c>
    </row>
    <row r="71">
      <c r="B71" s="37" t="inlineStr">
        <is>
          <t xml:space="preserve">   Bull comps value (USD)</t>
        </is>
      </c>
      <c r="C71" s="70">
        <f>(Assumptions!$E$70*D62-'DCF &amp; Valuation'!$C$29)/'DCF &amp; Valuation'!$C$31*'DCF &amp; Valuation'!$C$33</f>
        <v/>
      </c>
    </row>
    <row r="72" ht="4" customHeight="1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</row>
    <row r="73">
      <c r="B73" s="25" t="inlineStr">
        <is>
          <t>Francisco Rodriguez  |  Financial Modeling Portfolio  |  github.com/Azyo1</t>
        </is>
      </c>
    </row>
  </sheetData>
  <mergeCells count="32">
    <mergeCell ref="C24:D24"/>
    <mergeCell ref="C30:D30"/>
    <mergeCell ref="E24:F24"/>
    <mergeCell ref="G27:H27"/>
    <mergeCell ref="B3:I3"/>
    <mergeCell ref="E23:F23"/>
    <mergeCell ref="G23:H23"/>
    <mergeCell ref="C26:D26"/>
    <mergeCell ref="B12:I12"/>
    <mergeCell ref="B21:I21"/>
    <mergeCell ref="C29:D29"/>
    <mergeCell ref="E29:F29"/>
    <mergeCell ref="C25:D25"/>
    <mergeCell ref="B2:I2"/>
    <mergeCell ref="E28:F28"/>
    <mergeCell ref="G28:H28"/>
    <mergeCell ref="C22:D22"/>
    <mergeCell ref="E30:F30"/>
    <mergeCell ref="G24:H24"/>
    <mergeCell ref="G30:H30"/>
    <mergeCell ref="C27:D27"/>
    <mergeCell ref="B34:I34"/>
    <mergeCell ref="E27:F27"/>
    <mergeCell ref="E26:F26"/>
    <mergeCell ref="C23:D23"/>
    <mergeCell ref="G26:H26"/>
    <mergeCell ref="G29:H29"/>
    <mergeCell ref="E25:F25"/>
    <mergeCell ref="G25:H25"/>
    <mergeCell ref="C28:D28"/>
    <mergeCell ref="E22:F22"/>
    <mergeCell ref="G22:H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2026-10-15T12:16:18Z</dcterms:created>
  <dcterms:modified xsi:type="dcterms:W3CDTF">2026-10-15T12:16:18Z</dcterms:modified>
</cp:coreProperties>
</file>