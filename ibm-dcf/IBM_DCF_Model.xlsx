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Operating Model" sheetId="3" state="visible" r:id="rId3"/>
    <sheet name="DCF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yyyy-mm-dd"/>
    <numFmt numFmtId="166" formatCode="mmm d, yyyy"/>
    <numFmt numFmtId="167" formatCode="&quot;$&quot;#,##0.00"/>
    <numFmt numFmtId="168" formatCode="#,##0.0"/>
    <numFmt numFmtId="169" formatCode="&quot;$&quot;#,##0"/>
    <numFmt numFmtId="170" formatCode="0.00&quot;x&quot;"/>
    <numFmt numFmtId="171" formatCode="0.0000"/>
    <numFmt numFmtId="172" formatCode="0.0&quot;x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F1F1F"/>
      <sz val="9"/>
    </font>
    <font>
      <name val="Calibri"/>
      <color rgb="001F3864"/>
      <sz val="9"/>
    </font>
    <font>
      <name val="Calibri"/>
      <b val="1"/>
      <color rgb="001F1F1F"/>
      <sz val="9"/>
    </font>
    <font>
      <name val="Calibri"/>
      <i val="1"/>
      <color rgb="001F1F1F"/>
      <sz val="9"/>
    </font>
    <font>
      <name val="Calibri"/>
      <i val="1"/>
      <color rgb="00595959"/>
      <sz val="8"/>
    </font>
    <font>
      <name val="Calibri"/>
      <i val="1"/>
      <color rgb="00595959"/>
      <sz val="7"/>
    </font>
    <font>
      <name val="Calibri"/>
      <b val="1"/>
      <color rgb="001F3864"/>
      <sz val="9"/>
    </font>
    <font>
      <name val="Calibri"/>
      <i val="1"/>
      <color rgb="001F1F1F"/>
      <sz val="8"/>
    </font>
    <font>
      <name val="Calibri"/>
      <b val="1"/>
      <color rgb="001F1F1F"/>
      <sz val="8"/>
    </font>
    <font>
      <name val="Calibri"/>
      <color rgb="001F1F1F"/>
      <sz val="8"/>
    </font>
    <font>
      <name val="Calibri"/>
      <b val="1"/>
      <color rgb="001F3864"/>
      <sz val="20"/>
    </font>
    <font>
      <name val="Calibri"/>
      <i val="1"/>
      <color rgb="00595959"/>
      <sz val="10"/>
    </font>
    <font>
      <name val="Calibri"/>
      <color rgb="00595959"/>
      <sz val="9"/>
    </font>
    <font>
      <name val="Calibri"/>
      <b val="1"/>
      <color rgb="001F3864"/>
      <sz val="8"/>
    </font>
    <font>
      <name val="Calibri"/>
      <b val="1"/>
      <color rgb="00C00000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7375E"/>
      </patternFill>
    </fill>
    <fill>
      <patternFill patternType="solid">
        <fgColor rgb="00DBE5F1"/>
      </patternFill>
    </fill>
    <fill>
      <patternFill patternType="solid">
        <fgColor rgb="00EBF1DE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0" fillId="2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13" fillId="9" borderId="0" pivotButton="0" quotePrefix="0" xfId="0"/>
    <xf numFmtId="0" fontId="17" fillId="9" borderId="0" applyAlignment="1" pivotButton="0" quotePrefix="0" xfId="0">
      <alignment horizontal="right" vertical="center"/>
    </xf>
    <xf numFmtId="0" fontId="0" fillId="9" borderId="0" pivotButton="0" quotePrefix="0" xfId="0"/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17" fillId="9" borderId="0" applyAlignment="1" pivotButton="0" quotePrefix="0" xfId="0">
      <alignment horizontal="left" vertical="top" wrapText="1"/>
    </xf>
    <xf numFmtId="0" fontId="13" fillId="9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/>
    </xf>
    <xf numFmtId="0" fontId="18" fillId="9" borderId="0" pivotButton="0" quotePrefix="0" xfId="0"/>
    <xf numFmtId="0" fontId="1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3" fontId="5" fillId="5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6" fontId="5" fillId="5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7" fontId="5" fillId="5" borderId="0" applyAlignment="1" pivotButton="0" quotePrefix="0" xfId="0">
      <alignment horizontal="right" vertical="center"/>
    </xf>
    <xf numFmtId="168" fontId="5" fillId="5" borderId="0" applyAlignment="1" pivotButton="0" quotePrefix="0" xfId="0">
      <alignment horizontal="right" vertical="center"/>
    </xf>
    <xf numFmtId="10" fontId="5" fillId="5" borderId="0" applyAlignment="1" pivotButton="0" quotePrefix="0" xfId="0">
      <alignment horizontal="right" vertical="center"/>
    </xf>
    <xf numFmtId="2" fontId="5" fillId="5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5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170" fontId="5" fillId="5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0" fontId="4" fillId="6" borderId="0" applyAlignment="1" pivotButton="0" quotePrefix="0" xfId="0">
      <alignment horizontal="right" vertical="center"/>
    </xf>
    <xf numFmtId="2" fontId="4" fillId="6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10" fillId="5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68" fontId="4" fillId="6" borderId="0" applyAlignment="1" pivotButton="0" quotePrefix="0" xfId="0">
      <alignment horizontal="right" vertical="center"/>
    </xf>
    <xf numFmtId="167" fontId="10" fillId="5" borderId="0" applyAlignment="1" pivotButton="0" quotePrefix="0" xfId="0">
      <alignment horizontal="right" vertical="center"/>
    </xf>
    <xf numFmtId="167" fontId="4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9" fontId="10" fillId="5" borderId="0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49" fontId="10" fillId="5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10" fontId="2" fillId="3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9" fontId="6" fillId="5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9" fontId="1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right" vertical="center"/>
    </xf>
    <xf numFmtId="169" fontId="6" fillId="0" borderId="0" applyAlignment="1" pivotButton="0" quotePrefix="0" xfId="0">
      <alignment horizontal="center" vertical="center"/>
    </xf>
    <xf numFmtId="167" fontId="10" fillId="5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40" customHeight="1">
      <c r="B3" s="2" t="inlineStr">
        <is>
          <t>International Business Machines  (NYSE: IBM)</t>
        </is>
      </c>
    </row>
    <row r="4">
      <c r="B4" s="3" t="inlineStr">
        <is>
          <t>Equity Research  |  Initiating Coverage  |  October 2026</t>
        </is>
      </c>
    </row>
    <row r="5">
      <c r="B5" s="4" t="inlineStr">
        <is>
          <t>IT Services &amp; Software  ·  Quantum Computing  |  Francisco Rodriguez</t>
        </is>
      </c>
    </row>
    <row r="6" ht="4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38" customHeight="1">
      <c r="B7" s="6">
        <f>"RATING"&amp;CHAR(10)&amp;DCF!C44</f>
        <v/>
      </c>
      <c r="D7" s="7">
        <f>"PRICE TARGET"&amp;CHAR(10)&amp;TEXT(DCF!C41,"$#,##0")</f>
        <v/>
      </c>
      <c r="F7" s="8">
        <f>"CURRENT PRICE"&amp;CHAR(10)&amp;TEXT(DCF!C36,"$#,##0.00")</f>
        <v/>
      </c>
      <c r="H7" s="9">
        <f>"UPSIDE"&amp;CHAR(10)&amp;TEXT(DCF!C42,"+0.0%;-0.0%")</f>
        <v/>
      </c>
    </row>
    <row r="9">
      <c r="B9" s="10" t="inlineStr">
        <is>
          <t>KEY STATISTICS</t>
        </is>
      </c>
      <c r="F9" s="10" t="inlineStr">
        <is>
          <t>VALUATION SUMMARY</t>
        </is>
      </c>
    </row>
    <row r="10" ht="13" customHeight="1">
      <c r="B10" s="11" t="inlineStr">
        <is>
          <t>Market Cap</t>
        </is>
      </c>
      <c r="D10" s="12">
        <f>"$"&amp;TEXT(DCF!C36*DCF!C34/1000,"#,##0")&amp;"B"</f>
        <v/>
      </c>
      <c r="E10" s="13" t="n"/>
      <c r="F10" s="11" t="inlineStr">
        <is>
          <t>Base DCF Value</t>
        </is>
      </c>
      <c r="H10" s="12">
        <f>TEXT(DCF!C35,"$#,##0")</f>
        <v/>
      </c>
    </row>
    <row r="11" ht="13" customHeight="1">
      <c r="B11" s="14" t="inlineStr">
        <is>
          <t>Core Net Debt</t>
        </is>
      </c>
      <c r="D11" s="15">
        <f>"$"&amp;TEXT((DCF!C32-DCF!C31)/1000,"0.0")&amp;"B"</f>
        <v/>
      </c>
      <c r="F11" s="14" t="inlineStr">
        <is>
          <t xml:space="preserve">  of which Quantum</t>
        </is>
      </c>
      <c r="H11" s="15">
        <f>TEXT(DCF!C38,"$#,##0")</f>
        <v/>
      </c>
    </row>
    <row r="12" ht="13" customHeight="1">
      <c r="B12" s="11" t="inlineStr">
        <is>
          <t>FY2025A Revenue</t>
        </is>
      </c>
      <c r="D12" s="12">
        <f>"$"&amp;TEXT('Operating Model'!D10/1000,"0.0")&amp;"B"</f>
        <v/>
      </c>
      <c r="E12" s="13" t="n"/>
      <c r="F12" s="11" t="inlineStr">
        <is>
          <t>Bear / Bull (core)</t>
        </is>
      </c>
      <c r="H12" s="12">
        <f>TEXT(Sensitivity!C63,"$0")&amp;" / "&amp;TEXT(Sensitivity!C95,"$0")</f>
        <v/>
      </c>
    </row>
    <row r="13" ht="13" customHeight="1">
      <c r="B13" s="14" t="inlineStr">
        <is>
          <t>FY2026E Revenue</t>
        </is>
      </c>
      <c r="D13" s="15">
        <f>"$"&amp;TEXT('Operating Model'!E10/1000,"0.0")&amp;"B"</f>
        <v/>
      </c>
      <c r="F13" s="14" t="inlineStr">
        <is>
          <t>Quantum Dominant</t>
        </is>
      </c>
      <c r="H13" s="15">
        <f>TEXT(Sensitivity!C159,"$#,##0")</f>
        <v/>
      </c>
    </row>
    <row r="14" ht="13" customHeight="1">
      <c r="B14" s="11" t="inlineStr">
        <is>
          <t>FY2025A Reported FCF</t>
        </is>
      </c>
      <c r="D14" s="12">
        <f>"$"&amp;TEXT(Assumptions!$C$40/1000,"0.0")&amp;"B"</f>
        <v/>
      </c>
      <c r="E14" s="13" t="n"/>
      <c r="F14" s="11" t="inlineStr">
        <is>
          <t>Prob.-Weighted Value</t>
        </is>
      </c>
      <c r="H14" s="12">
        <f>TEXT(Sensitivity!C40,"$#,##0")</f>
        <v/>
      </c>
    </row>
    <row r="15" ht="13" customHeight="1">
      <c r="B15" s="14" t="inlineStr">
        <is>
          <t>Dividend Yield</t>
        </is>
      </c>
      <c r="D15" s="15">
        <f>TEXT(Assumptions!$C$55/DCF!C36,"0.0%")</f>
        <v/>
      </c>
      <c r="F15" s="14" t="inlineStr">
        <is>
          <t>WACC / g</t>
        </is>
      </c>
      <c r="H15" s="15">
        <f>TEXT(DCF!C14,"0.0%")&amp;" / "&amp;TEXT(DCF!C25,"0.0%")</f>
        <v/>
      </c>
    </row>
    <row r="16" ht="13" customHeight="1">
      <c r="B16" s="11" t="inlineStr">
        <is>
          <t>52-Wk High / Low</t>
        </is>
      </c>
      <c r="D16" s="12">
        <f>TEXT(Assumptions!$C$48,"$0")&amp;" / "&amp;TEXT(Assumptions!$C$49,"$0")</f>
        <v/>
      </c>
      <c r="E16" s="13" t="n"/>
      <c r="F16" s="11" t="inlineStr">
        <is>
          <t>Total Return incl. Div.</t>
        </is>
      </c>
      <c r="H16" s="12">
        <f>TEXT(DCF!C43,"+0.0%;-0.0%")</f>
        <v/>
      </c>
    </row>
    <row r="17" ht="13" customHeight="1">
      <c r="B17" s="14" t="inlineStr">
        <is>
          <t>Consensus PT</t>
        </is>
      </c>
      <c r="D17" s="15">
        <f>TEXT(Assumptions!$C$56,"$0.00")</f>
        <v/>
      </c>
      <c r="F17" s="14" t="inlineStr">
        <is>
          <t>TV % of EV</t>
        </is>
      </c>
      <c r="H17" s="15">
        <f>TEXT(DCF!C29,"0%")</f>
        <v/>
      </c>
    </row>
    <row r="19">
      <c r="B19" s="16" t="inlineStr">
        <is>
          <t>INVESTMENT THESIS</t>
        </is>
      </c>
    </row>
    <row r="20" ht="64" customHeight="1">
      <c r="B20" s="17">
        <f>"IBM is a cash-generative software and mainframe franchise with a real — but early — quantum call option. Our 10-year segment DCF values the core business at "&amp;TEXT(DCF!C39,"$#,##0")&amp;" and quantum at "&amp;TEXT(DCF!C38,"$#,##0")&amp;" per share; probability-weighting four quantum outcomes gives a "&amp;TEXT(DCF!C41,"$#,##0")&amp;" price target vs. "&amp;TEXT(DCF!C36,"$#,##0")&amp;" today. Rating: "&amp;DCF!C44&amp;"."</f>
        <v/>
      </c>
    </row>
    <row r="21" ht="44" customHeight="1">
      <c r="B21" s="18" t="inlineStr">
        <is>
          <t>1.  Software Compounder</t>
        </is>
      </c>
      <c r="D21" s="19" t="inlineStr">
        <is>
          <t>Software (44% of FY2025A revenue, 33% segment margin) grew 11% in 2025; Red Hat +11% and Data +19% in Q2'26. Confluent (closed Mar 2026) adds real-time data streaming for AI.</t>
        </is>
      </c>
    </row>
    <row r="22" ht="44" customHeight="1">
      <c r="B22" s="20" t="inlineStr">
        <is>
          <t>2.  2026 Is a Mainframe Air-Pocket</t>
        </is>
      </c>
      <c r="D22" s="17" t="inlineStr">
        <is>
          <t>IBM Z fell 42% in Q2'26 against the z17 peak; guidance cut to 4–5% cc growth. We model Infrastructure −4% in FY2026E and −2% in FY2027E before the next cycle.</t>
        </is>
      </c>
    </row>
    <row r="23" ht="44" customHeight="1">
      <c r="B23" s="18" t="inlineStr">
        <is>
          <t>3.  Quantum: Real Roadmap, Small Revenue</t>
        </is>
      </c>
      <c r="D23" s="19" t="inlineStr">
        <is>
          <t>Starling fault-tolerant system targeted 2H 2029; $10B+ program incl. the Anderon foundry. Quantum is loss-making until ~FY2030E in our base case — the value is in the tail.</t>
        </is>
      </c>
    </row>
    <row r="24" ht="44" customHeight="1">
      <c r="B24" s="20" t="inlineStr">
        <is>
          <t>4.  What the Price Implies</t>
        </is>
      </c>
      <c r="D24" s="17">
        <f>IF(Sensitivity!C42=0,"At "&amp;TEXT(DCF!C36,"$0")&amp;" the stock trades below our core-only value of "&amp;TEXT(DCF!C39,"$0")&amp;" — quantum is priced at zero. The debate is the discount rate: the price implies a ~"&amp;TEXT(Sensitivity!C43,"0.0%")&amp;" WACC vs. our "&amp;TEXT(DCF!C14,"0.0%")&amp;".","At "&amp;TEXT(DCF!C36,"$0")&amp;" the market needs about "&amp;TEXT(Sensitivity!C42,"$0")&amp;" per share of quantum value on top of our core DCF.")</f>
        <v/>
      </c>
    </row>
    <row r="26">
      <c r="B26" s="21" t="inlineStr">
        <is>
          <t>KEY RISKS</t>
        </is>
      </c>
    </row>
    <row r="27" ht="13" customHeight="1">
      <c r="B27" s="22" t="inlineStr">
        <is>
          <t>▪  Quantum timeline</t>
        </is>
      </c>
      <c r="D27" s="11" t="inlineStr">
        <is>
          <t>Starling slips past 2029 or competitors (Google, Quantinuum) reach fault tolerance first</t>
        </is>
      </c>
    </row>
    <row r="28" ht="13" customHeight="1">
      <c r="B28" s="23" t="inlineStr">
        <is>
          <t>▪  Consulting / AI disruption</t>
        </is>
      </c>
      <c r="D28" s="14" t="inlineStr">
        <is>
          <t>GenAI compresses consulting hours faster than IBM can reprice</t>
        </is>
      </c>
    </row>
    <row r="29" ht="13" customHeight="1">
      <c r="B29" s="22" t="inlineStr">
        <is>
          <t>▪  Mainframe cycle</t>
        </is>
      </c>
      <c r="D29" s="11" t="inlineStr">
        <is>
          <t>z18 cycle timing and customer capex shifts drive lumpy Infrastructure revenue</t>
        </is>
      </c>
    </row>
    <row r="30" ht="13" customHeight="1">
      <c r="B30" s="23" t="inlineStr">
        <is>
          <t>▪  Leverage &amp; pension</t>
        </is>
      </c>
      <c r="D30" s="14" t="inlineStr">
        <is>
          <t>$49B core debt after Confluent; pension obligations not modeled separately</t>
        </is>
      </c>
    </row>
    <row r="32">
      <c r="B32" s="24" t="inlineStr">
        <is>
          <t>Price as of Oct 14, 2026; balance sheet Jun 30, 2026. $M unless noted. Every number on this page is formula-linked — change inputs on the Assumptions tab only.</t>
        </is>
      </c>
    </row>
    <row r="33" ht="4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B34" s="25" t="inlineStr">
        <is>
          <t>Francisco Rodriguez  |  Financial Modeling Portfolio  |  github.com/Azyo1</t>
        </is>
      </c>
    </row>
  </sheetData>
  <mergeCells count="45">
    <mergeCell ref="B9:E9"/>
    <mergeCell ref="F11:G11"/>
    <mergeCell ref="B16:C16"/>
    <mergeCell ref="B7:C7"/>
    <mergeCell ref="F10:G10"/>
    <mergeCell ref="F16:G16"/>
    <mergeCell ref="B3:I3"/>
    <mergeCell ref="B22:C22"/>
    <mergeCell ref="B27:C27"/>
    <mergeCell ref="D22:H22"/>
    <mergeCell ref="F7:G7"/>
    <mergeCell ref="B12:C12"/>
    <mergeCell ref="B21:C21"/>
    <mergeCell ref="F12:G12"/>
    <mergeCell ref="D21:H21"/>
    <mergeCell ref="B26:H26"/>
    <mergeCell ref="B11:C11"/>
    <mergeCell ref="F15:G15"/>
    <mergeCell ref="B23:C23"/>
    <mergeCell ref="D27:H27"/>
    <mergeCell ref="B14:C14"/>
    <mergeCell ref="F9:H9"/>
    <mergeCell ref="B17:C17"/>
    <mergeCell ref="F17:G17"/>
    <mergeCell ref="B13:C13"/>
    <mergeCell ref="D7:E7"/>
    <mergeCell ref="B29:C29"/>
    <mergeCell ref="H7:I7"/>
    <mergeCell ref="B10:C10"/>
    <mergeCell ref="B28:C28"/>
    <mergeCell ref="D28:H28"/>
    <mergeCell ref="F13:G13"/>
    <mergeCell ref="B24:C24"/>
    <mergeCell ref="B30:C30"/>
    <mergeCell ref="D30:H30"/>
    <mergeCell ref="B15:C15"/>
    <mergeCell ref="D24:H24"/>
    <mergeCell ref="B20:I20"/>
    <mergeCell ref="D29:H29"/>
    <mergeCell ref="B5:I5"/>
    <mergeCell ref="D23:H23"/>
    <mergeCell ref="F14:G14"/>
    <mergeCell ref="B19:H19"/>
    <mergeCell ref="B32:I32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.5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B2" s="26" t="inlineStr">
        <is>
          <t>IBM — Model Assumptions  (ALL HARDCODED INPUTS = BLUE CELLS)  ·  $M unless noted</t>
        </is>
      </c>
    </row>
    <row r="3">
      <c r="B3" s="27" t="inlineStr">
        <is>
          <t>Metric</t>
        </is>
      </c>
      <c r="C3" s="28" t="inlineStr">
        <is>
          <t>FY2024A</t>
        </is>
      </c>
      <c r="D3" s="28" t="inlineStr">
        <is>
          <t>FY2025A</t>
        </is>
      </c>
      <c r="E3" s="29" t="inlineStr">
        <is>
          <t>FY2026E</t>
        </is>
      </c>
      <c r="F3" s="29" t="inlineStr">
        <is>
          <t>FY2027E</t>
        </is>
      </c>
      <c r="G3" s="29" t="inlineStr">
        <is>
          <t>FY2028E</t>
        </is>
      </c>
      <c r="H3" s="29" t="inlineStr">
        <is>
          <t>FY2029E</t>
        </is>
      </c>
      <c r="I3" s="29" t="inlineStr">
        <is>
          <t>FY2030E</t>
        </is>
      </c>
      <c r="J3" s="29" t="inlineStr">
        <is>
          <t>FY2031E</t>
        </is>
      </c>
      <c r="K3" s="29" t="inlineStr">
        <is>
          <t>FY2032E</t>
        </is>
      </c>
      <c r="L3" s="29" t="inlineStr">
        <is>
          <t>FY2033E</t>
        </is>
      </c>
      <c r="M3" s="29" t="inlineStr">
        <is>
          <t>FY2034E</t>
        </is>
      </c>
      <c r="N3" s="29" t="inlineStr">
        <is>
          <t>FY2035E</t>
        </is>
      </c>
    </row>
    <row r="4">
      <c r="B4" s="21" t="inlineStr">
        <is>
          <t>SEGMENT REVENUE GROWTH  (historical = formula, forecast = input)</t>
        </is>
      </c>
    </row>
    <row r="5">
      <c r="B5" s="30" t="inlineStr">
        <is>
          <t>Software</t>
        </is>
      </c>
      <c r="C5" s="31" t="inlineStr">
        <is>
          <t>—</t>
        </is>
      </c>
      <c r="D5" s="32">
        <f>D11/C11-1</f>
        <v/>
      </c>
      <c r="E5" s="33" t="n">
        <v>0.095</v>
      </c>
      <c r="F5" s="33" t="n">
        <v>0.08</v>
      </c>
      <c r="G5" s="33" t="n">
        <v>0.075</v>
      </c>
      <c r="H5" s="33" t="n">
        <v>0.07000000000000001</v>
      </c>
      <c r="I5" s="33" t="n">
        <v>0.065</v>
      </c>
      <c r="J5" s="33" t="n">
        <v>0.06</v>
      </c>
      <c r="K5" s="33" t="n">
        <v>0.055</v>
      </c>
      <c r="L5" s="33" t="n">
        <v>0.05</v>
      </c>
      <c r="M5" s="33" t="n">
        <v>0.045</v>
      </c>
      <c r="N5" s="33" t="n">
        <v>0.04</v>
      </c>
    </row>
    <row r="6">
      <c r="B6" s="30" t="inlineStr">
        <is>
          <t>Consulting</t>
        </is>
      </c>
      <c r="C6" s="31" t="inlineStr">
        <is>
          <t>—</t>
        </is>
      </c>
      <c r="D6" s="32">
        <f>D12/C12-1</f>
        <v/>
      </c>
      <c r="E6" s="33" t="n">
        <v>0.02</v>
      </c>
      <c r="F6" s="33" t="n">
        <v>0.03</v>
      </c>
      <c r="G6" s="33" t="n">
        <v>0.03</v>
      </c>
      <c r="H6" s="33" t="n">
        <v>0.03</v>
      </c>
      <c r="I6" s="33" t="n">
        <v>0.03</v>
      </c>
      <c r="J6" s="33" t="n">
        <v>0.03</v>
      </c>
      <c r="K6" s="33" t="n">
        <v>0.03</v>
      </c>
      <c r="L6" s="33" t="n">
        <v>0.03</v>
      </c>
      <c r="M6" s="33" t="n">
        <v>0.03</v>
      </c>
      <c r="N6" s="33" t="n">
        <v>0.03</v>
      </c>
    </row>
    <row r="7">
      <c r="B7" s="30" t="inlineStr">
        <is>
          <t>Infrastructure</t>
        </is>
      </c>
      <c r="C7" s="31" t="inlineStr">
        <is>
          <t>—</t>
        </is>
      </c>
      <c r="D7" s="32">
        <f>D13/C13-1</f>
        <v/>
      </c>
      <c r="E7" s="33" t="n">
        <v>-0.04</v>
      </c>
      <c r="F7" s="33" t="n">
        <v>-0.02</v>
      </c>
      <c r="G7" s="33" t="n">
        <v>0.06</v>
      </c>
      <c r="H7" s="33" t="n">
        <v>0.03</v>
      </c>
      <c r="I7" s="33" t="n">
        <v>0.02</v>
      </c>
      <c r="J7" s="33" t="n">
        <v>0.02</v>
      </c>
      <c r="K7" s="33" t="n">
        <v>0.02</v>
      </c>
      <c r="L7" s="33" t="n">
        <v>0.02</v>
      </c>
      <c r="M7" s="33" t="n">
        <v>0.02</v>
      </c>
      <c r="N7" s="33" t="n">
        <v>0.02</v>
      </c>
    </row>
    <row r="8">
      <c r="B8" s="30" t="inlineStr">
        <is>
          <t>Financing</t>
        </is>
      </c>
      <c r="C8" s="31" t="inlineStr">
        <is>
          <t>—</t>
        </is>
      </c>
      <c r="D8" s="32">
        <f>D14/C14-1</f>
        <v/>
      </c>
      <c r="E8" s="33" t="n">
        <v>0.1</v>
      </c>
      <c r="F8" s="33" t="n">
        <v>0.03</v>
      </c>
      <c r="G8" s="33" t="n">
        <v>0.03</v>
      </c>
      <c r="H8" s="33" t="n">
        <v>0.03</v>
      </c>
      <c r="I8" s="33" t="n">
        <v>0.03</v>
      </c>
      <c r="J8" s="33" t="n">
        <v>0.03</v>
      </c>
      <c r="K8" s="33" t="n">
        <v>0.03</v>
      </c>
      <c r="L8" s="33" t="n">
        <v>0.03</v>
      </c>
      <c r="M8" s="33" t="n">
        <v>0.03</v>
      </c>
      <c r="N8" s="33" t="n">
        <v>0.03</v>
      </c>
    </row>
    <row r="10">
      <c r="B10" s="21" t="inlineStr">
        <is>
          <t>SEGMENT REVENUE ($M)</t>
        </is>
      </c>
    </row>
    <row r="11">
      <c r="B11" s="30" t="inlineStr">
        <is>
          <t>Software</t>
        </is>
      </c>
      <c r="C11" s="34" t="n">
        <v>27085</v>
      </c>
      <c r="D11" s="34" t="n">
        <v>29962</v>
      </c>
      <c r="E11" s="35">
        <f>D11*(1+E5)</f>
        <v/>
      </c>
      <c r="F11" s="35">
        <f>E11*(1+F5)</f>
        <v/>
      </c>
      <c r="G11" s="35">
        <f>F11*(1+G5)</f>
        <v/>
      </c>
      <c r="H11" s="35">
        <f>G11*(1+H5)</f>
        <v/>
      </c>
      <c r="I11" s="35">
        <f>H11*(1+I5)</f>
        <v/>
      </c>
      <c r="J11" s="35">
        <f>I11*(1+J5)</f>
        <v/>
      </c>
      <c r="K11" s="35">
        <f>J11*(1+K5)</f>
        <v/>
      </c>
      <c r="L11" s="35">
        <f>K11*(1+L5)</f>
        <v/>
      </c>
      <c r="M11" s="35">
        <f>L11*(1+M5)</f>
        <v/>
      </c>
      <c r="N11" s="35">
        <f>M11*(1+N5)</f>
        <v/>
      </c>
    </row>
    <row r="12">
      <c r="B12" s="30" t="inlineStr">
        <is>
          <t>Consulting</t>
        </is>
      </c>
      <c r="C12" s="34" t="n">
        <v>20692</v>
      </c>
      <c r="D12" s="34" t="n">
        <v>21055</v>
      </c>
      <c r="E12" s="35">
        <f>D12*(1+E6)</f>
        <v/>
      </c>
      <c r="F12" s="35">
        <f>E12*(1+F6)</f>
        <v/>
      </c>
      <c r="G12" s="35">
        <f>F12*(1+G6)</f>
        <v/>
      </c>
      <c r="H12" s="35">
        <f>G12*(1+H6)</f>
        <v/>
      </c>
      <c r="I12" s="35">
        <f>H12*(1+I6)</f>
        <v/>
      </c>
      <c r="J12" s="35">
        <f>I12*(1+J6)</f>
        <v/>
      </c>
      <c r="K12" s="35">
        <f>J12*(1+K6)</f>
        <v/>
      </c>
      <c r="L12" s="35">
        <f>K12*(1+L6)</f>
        <v/>
      </c>
      <c r="M12" s="35">
        <f>L12*(1+M6)</f>
        <v/>
      </c>
      <c r="N12" s="35">
        <f>M12*(1+N6)</f>
        <v/>
      </c>
    </row>
    <row r="13">
      <c r="B13" s="30" t="inlineStr">
        <is>
          <t>Infrastructure</t>
        </is>
      </c>
      <c r="C13" s="34" t="n">
        <v>14020</v>
      </c>
      <c r="D13" s="34" t="n">
        <v>15718</v>
      </c>
      <c r="E13" s="35">
        <f>D13*(1+E7)</f>
        <v/>
      </c>
      <c r="F13" s="35">
        <f>E13*(1+F7)</f>
        <v/>
      </c>
      <c r="G13" s="35">
        <f>F13*(1+G7)</f>
        <v/>
      </c>
      <c r="H13" s="35">
        <f>G13*(1+H7)</f>
        <v/>
      </c>
      <c r="I13" s="35">
        <f>H13*(1+I7)</f>
        <v/>
      </c>
      <c r="J13" s="35">
        <f>I13*(1+J7)</f>
        <v/>
      </c>
      <c r="K13" s="35">
        <f>J13*(1+K7)</f>
        <v/>
      </c>
      <c r="L13" s="35">
        <f>K13*(1+L7)</f>
        <v/>
      </c>
      <c r="M13" s="35">
        <f>L13*(1+M7)</f>
        <v/>
      </c>
      <c r="N13" s="35">
        <f>M13*(1+N7)</f>
        <v/>
      </c>
    </row>
    <row r="14">
      <c r="B14" s="30" t="inlineStr">
        <is>
          <t>Financing</t>
        </is>
      </c>
      <c r="C14" s="34" t="n">
        <v>714</v>
      </c>
      <c r="D14" s="34" t="n">
        <v>737</v>
      </c>
      <c r="E14" s="35">
        <f>D14*(1+E8)</f>
        <v/>
      </c>
      <c r="F14" s="35">
        <f>E14*(1+F8)</f>
        <v/>
      </c>
      <c r="G14" s="35">
        <f>F14*(1+G8)</f>
        <v/>
      </c>
      <c r="H14" s="35">
        <f>G14*(1+H8)</f>
        <v/>
      </c>
      <c r="I14" s="35">
        <f>H14*(1+I8)</f>
        <v/>
      </c>
      <c r="J14" s="35">
        <f>I14*(1+J8)</f>
        <v/>
      </c>
      <c r="K14" s="35">
        <f>J14*(1+K8)</f>
        <v/>
      </c>
      <c r="L14" s="35">
        <f>K14*(1+L8)</f>
        <v/>
      </c>
      <c r="M14" s="35">
        <f>L14*(1+M8)</f>
        <v/>
      </c>
      <c r="N14" s="35">
        <f>M14*(1+N8)</f>
        <v/>
      </c>
    </row>
    <row r="15">
      <c r="B15" s="30" t="inlineStr">
        <is>
          <t>Quantum — incremental revenue (base case)</t>
        </is>
      </c>
      <c r="C15" s="31" t="inlineStr">
        <is>
          <t>—</t>
        </is>
      </c>
      <c r="D15" s="31" t="inlineStr">
        <is>
          <t>—</t>
        </is>
      </c>
      <c r="E15" s="34" t="n">
        <v>150</v>
      </c>
      <c r="F15" s="34" t="n">
        <v>250</v>
      </c>
      <c r="G15" s="34" t="n">
        <v>400</v>
      </c>
      <c r="H15" s="34" t="n">
        <v>700</v>
      </c>
      <c r="I15" s="34" t="n">
        <v>1200</v>
      </c>
      <c r="J15" s="34" t="n">
        <v>2000</v>
      </c>
      <c r="K15" s="34" t="n">
        <v>3000</v>
      </c>
      <c r="L15" s="34" t="n">
        <v>4200</v>
      </c>
      <c r="M15" s="34" t="n">
        <v>5500</v>
      </c>
      <c r="N15" s="34" t="n">
        <v>7000</v>
      </c>
    </row>
    <row r="16">
      <c r="B16" s="36" t="inlineStr">
        <is>
          <t>Total Revenue</t>
        </is>
      </c>
      <c r="C16" s="37">
        <f>C11+C12+C13+C14+N(C15)</f>
        <v/>
      </c>
      <c r="D16" s="37">
        <f>D11+D12+D13+D14+N(D15)</f>
        <v/>
      </c>
      <c r="E16" s="37">
        <f>E11+E12+E13+E14+N(E15)</f>
        <v/>
      </c>
      <c r="F16" s="37">
        <f>F11+F12+F13+F14+N(F15)</f>
        <v/>
      </c>
      <c r="G16" s="37">
        <f>G11+G12+G13+G14+N(G15)</f>
        <v/>
      </c>
      <c r="H16" s="37">
        <f>H11+H12+H13+H14+N(H15)</f>
        <v/>
      </c>
      <c r="I16" s="37">
        <f>I11+I12+I13+I14+N(I15)</f>
        <v/>
      </c>
      <c r="J16" s="37">
        <f>J11+J12+J13+J14+N(J15)</f>
        <v/>
      </c>
      <c r="K16" s="37">
        <f>K11+K12+K13+K14+N(K15)</f>
        <v/>
      </c>
      <c r="L16" s="37">
        <f>L11+L12+L13+L14+N(L15)</f>
        <v/>
      </c>
      <c r="M16" s="37">
        <f>M11+M12+M13+M14+N(M15)</f>
        <v/>
      </c>
      <c r="N16" s="37">
        <f>N11+N12+N13+N14+N(N15)</f>
        <v/>
      </c>
    </row>
    <row r="17">
      <c r="B17" s="38" t="inlineStr">
        <is>
          <t xml:space="preserve">  YoY Growth %</t>
        </is>
      </c>
      <c r="D17" s="32">
        <f>D16/C16-1</f>
        <v/>
      </c>
      <c r="E17" s="32">
        <f>E16/D16-1</f>
        <v/>
      </c>
      <c r="F17" s="32">
        <f>F16/E16-1</f>
        <v/>
      </c>
      <c r="G17" s="32">
        <f>G16/F16-1</f>
        <v/>
      </c>
      <c r="H17" s="32">
        <f>H16/G16-1</f>
        <v/>
      </c>
      <c r="I17" s="32">
        <f>I16/H16-1</f>
        <v/>
      </c>
      <c r="J17" s="32">
        <f>J16/I16-1</f>
        <v/>
      </c>
      <c r="K17" s="32">
        <f>K16/J16-1</f>
        <v/>
      </c>
      <c r="L17" s="32">
        <f>L16/K16-1</f>
        <v/>
      </c>
      <c r="M17" s="32">
        <f>M16/L16-1</f>
        <v/>
      </c>
      <c r="N17" s="32">
        <f>N16/M16-1</f>
        <v/>
      </c>
    </row>
    <row r="18">
      <c r="B18" s="21" t="inlineStr">
        <is>
          <t>SEGMENT PROFIT (pre-tax) &amp; CORPORATE  (FY2025A margins as reported; Financing est.)</t>
        </is>
      </c>
    </row>
    <row r="19">
      <c r="B19" s="30" t="inlineStr">
        <is>
          <t>Software segment profit margin</t>
        </is>
      </c>
      <c r="C19" s="31" t="inlineStr">
        <is>
          <t>—</t>
        </is>
      </c>
      <c r="D19" s="33" t="n">
        <v>0.331</v>
      </c>
      <c r="E19" s="33" t="n">
        <v>0.335</v>
      </c>
      <c r="F19" s="33" t="n">
        <v>0.34</v>
      </c>
      <c r="G19" s="33" t="n">
        <v>0.345</v>
      </c>
      <c r="H19" s="33" t="n">
        <v>0.35</v>
      </c>
      <c r="I19" s="33" t="n">
        <v>0.35</v>
      </c>
      <c r="J19" s="33" t="n">
        <v>0.35</v>
      </c>
      <c r="K19" s="33" t="n">
        <v>0.35</v>
      </c>
      <c r="L19" s="33" t="n">
        <v>0.35</v>
      </c>
      <c r="M19" s="33" t="n">
        <v>0.35</v>
      </c>
      <c r="N19" s="33" t="n">
        <v>0.35</v>
      </c>
    </row>
    <row r="20">
      <c r="B20" s="30" t="inlineStr">
        <is>
          <t>Consulting segment profit margin</t>
        </is>
      </c>
      <c r="C20" s="31" t="inlineStr">
        <is>
          <t>—</t>
        </is>
      </c>
      <c r="D20" s="33" t="n">
        <v>0.117</v>
      </c>
      <c r="E20" s="33" t="n">
        <v>0.115</v>
      </c>
      <c r="F20" s="33" t="n">
        <v>0.12</v>
      </c>
      <c r="G20" s="33" t="n">
        <v>0.122</v>
      </c>
      <c r="H20" s="33" t="n">
        <v>0.125</v>
      </c>
      <c r="I20" s="33" t="n">
        <v>0.125</v>
      </c>
      <c r="J20" s="33" t="n">
        <v>0.125</v>
      </c>
      <c r="K20" s="33" t="n">
        <v>0.125</v>
      </c>
      <c r="L20" s="33" t="n">
        <v>0.125</v>
      </c>
      <c r="M20" s="33" t="n">
        <v>0.125</v>
      </c>
      <c r="N20" s="33" t="n">
        <v>0.125</v>
      </c>
    </row>
    <row r="21">
      <c r="B21" s="30" t="inlineStr">
        <is>
          <t>Infrastructure segment profit margin</t>
        </is>
      </c>
      <c r="C21" s="31" t="inlineStr">
        <is>
          <t>—</t>
        </is>
      </c>
      <c r="D21" s="33" t="n">
        <v>0.22</v>
      </c>
      <c r="E21" s="33" t="n">
        <v>0.19</v>
      </c>
      <c r="F21" s="33" t="n">
        <v>0.18</v>
      </c>
      <c r="G21" s="33" t="n">
        <v>0.2</v>
      </c>
      <c r="H21" s="33" t="n">
        <v>0.2</v>
      </c>
      <c r="I21" s="33" t="n">
        <v>0.2</v>
      </c>
      <c r="J21" s="33" t="n">
        <v>0.2</v>
      </c>
      <c r="K21" s="33" t="n">
        <v>0.2</v>
      </c>
      <c r="L21" s="33" t="n">
        <v>0.2</v>
      </c>
      <c r="M21" s="33" t="n">
        <v>0.2</v>
      </c>
      <c r="N21" s="33" t="n">
        <v>0.2</v>
      </c>
    </row>
    <row r="22">
      <c r="B22" s="30" t="inlineStr">
        <is>
          <t>Financing segment profit margin</t>
        </is>
      </c>
      <c r="C22" s="31" t="inlineStr">
        <is>
          <t>—</t>
        </is>
      </c>
      <c r="D22" s="33" t="n">
        <v>0.4</v>
      </c>
      <c r="E22" s="33" t="n">
        <v>0.4</v>
      </c>
      <c r="F22" s="33" t="n">
        <v>0.4</v>
      </c>
      <c r="G22" s="33" t="n">
        <v>0.4</v>
      </c>
      <c r="H22" s="33" t="n">
        <v>0.4</v>
      </c>
      <c r="I22" s="33" t="n">
        <v>0.4</v>
      </c>
      <c r="J22" s="33" t="n">
        <v>0.4</v>
      </c>
      <c r="K22" s="33" t="n">
        <v>0.4</v>
      </c>
      <c r="L22" s="33" t="n">
        <v>0.4</v>
      </c>
      <c r="M22" s="33" t="n">
        <v>0.4</v>
      </c>
      <c r="N22" s="33" t="n">
        <v>0.4</v>
      </c>
    </row>
    <row r="23">
      <c r="B23" s="30" t="inlineStr">
        <is>
          <t>Quantum contribution margin (before program opex)</t>
        </is>
      </c>
      <c r="C23" s="31" t="inlineStr">
        <is>
          <t>—</t>
        </is>
      </c>
      <c r="D23" s="31" t="inlineStr">
        <is>
          <t>—</t>
        </is>
      </c>
      <c r="E23" s="33" t="n">
        <v>0.6</v>
      </c>
      <c r="F23" s="33" t="n">
        <v>0.6</v>
      </c>
      <c r="G23" s="33" t="n">
        <v>0.6</v>
      </c>
      <c r="H23" s="33" t="n">
        <v>0.6</v>
      </c>
      <c r="I23" s="33" t="n">
        <v>0.6</v>
      </c>
      <c r="J23" s="33" t="n">
        <v>0.6</v>
      </c>
      <c r="K23" s="33" t="n">
        <v>0.6</v>
      </c>
      <c r="L23" s="33" t="n">
        <v>0.6</v>
      </c>
      <c r="M23" s="33" t="n">
        <v>0.6</v>
      </c>
      <c r="N23" s="33" t="n">
        <v>0.6</v>
      </c>
    </row>
    <row r="24">
      <c r="B24" s="30" t="inlineStr">
        <is>
          <t>Quantum incremental program opex above 2025 run-rate ($M)</t>
        </is>
      </c>
      <c r="C24" s="31" t="inlineStr">
        <is>
          <t>—</t>
        </is>
      </c>
      <c r="D24" s="31" t="inlineStr">
        <is>
          <t>—</t>
        </is>
      </c>
      <c r="E24" s="34" t="n">
        <v>200</v>
      </c>
      <c r="F24" s="34" t="n">
        <v>400</v>
      </c>
      <c r="G24" s="34" t="n">
        <v>600</v>
      </c>
      <c r="H24" s="34" t="n">
        <v>700</v>
      </c>
      <c r="I24" s="34" t="n">
        <v>800</v>
      </c>
      <c r="J24" s="34" t="n">
        <v>900</v>
      </c>
      <c r="K24" s="34" t="n">
        <v>1000</v>
      </c>
      <c r="L24" s="34" t="n">
        <v>1100</v>
      </c>
      <c r="M24" s="34" t="n">
        <v>1200</v>
      </c>
      <c r="N24" s="34" t="n">
        <v>1300</v>
      </c>
    </row>
    <row r="25">
      <c r="B25" s="30" t="inlineStr">
        <is>
          <t>Unallocated corporate, acquired-intangible amort. &amp; other (% rev)</t>
        </is>
      </c>
      <c r="C25" s="31" t="inlineStr">
        <is>
          <t>—</t>
        </is>
      </c>
      <c r="E25" s="33" t="n">
        <v>0.058</v>
      </c>
      <c r="F25" s="33" t="n">
        <v>0.057</v>
      </c>
      <c r="G25" s="33" t="n">
        <v>0.056</v>
      </c>
      <c r="H25" s="33" t="n">
        <v>0.055</v>
      </c>
      <c r="I25" s="33" t="n">
        <v>0.055</v>
      </c>
      <c r="J25" s="33" t="n">
        <v>0.055</v>
      </c>
      <c r="K25" s="33" t="n">
        <v>0.055</v>
      </c>
      <c r="L25" s="33" t="n">
        <v>0.055</v>
      </c>
      <c r="M25" s="33" t="n">
        <v>0.055</v>
      </c>
      <c r="N25" s="33" t="n">
        <v>0.055</v>
      </c>
    </row>
    <row r="26">
      <c r="B26" s="21" t="inlineStr">
        <is>
          <t>CASH FLOW &amp; TAX</t>
        </is>
      </c>
    </row>
    <row r="27">
      <c r="B27" s="30" t="inlineStr">
        <is>
          <t>D&amp;A incl. acquired-intangible amortization (% rev)</t>
        </is>
      </c>
      <c r="C27" s="31" t="inlineStr">
        <is>
          <t>—</t>
        </is>
      </c>
      <c r="D27" s="32">
        <f>C38/D16</f>
        <v/>
      </c>
      <c r="E27" s="33" t="n">
        <v>0.07199999999999999</v>
      </c>
      <c r="F27" s="33" t="n">
        <v>0.07000000000000001</v>
      </c>
      <c r="G27" s="33" t="n">
        <v>0.066</v>
      </c>
      <c r="H27" s="33" t="n">
        <v>0.062</v>
      </c>
      <c r="I27" s="33" t="n">
        <v>0.058</v>
      </c>
      <c r="J27" s="33" t="n">
        <v>0.054</v>
      </c>
      <c r="K27" s="33" t="n">
        <v>0.05</v>
      </c>
      <c r="L27" s="33" t="n">
        <v>0.046</v>
      </c>
      <c r="M27" s="33" t="n">
        <v>0.042</v>
      </c>
      <c r="N27" s="33" t="n">
        <v>0.038</v>
      </c>
    </row>
    <row r="28">
      <c r="B28" s="30" t="inlineStr">
        <is>
          <t>Core capex incl. capitalized software (% rev)</t>
        </is>
      </c>
      <c r="C28" s="31" t="inlineStr">
        <is>
          <t>—</t>
        </is>
      </c>
      <c r="D28" s="32">
        <f>C39/D16</f>
        <v/>
      </c>
      <c r="E28" s="33" t="n">
        <v>0.025</v>
      </c>
      <c r="F28" s="33" t="n">
        <v>0.026</v>
      </c>
      <c r="G28" s="33" t="n">
        <v>0.027</v>
      </c>
      <c r="H28" s="33" t="n">
        <v>0.028</v>
      </c>
      <c r="I28" s="33" t="n">
        <v>0.029</v>
      </c>
      <c r="J28" s="33" t="n">
        <v>0.03</v>
      </c>
      <c r="K28" s="33" t="n">
        <v>0.03</v>
      </c>
      <c r="L28" s="33" t="n">
        <v>0.03</v>
      </c>
      <c r="M28" s="33" t="n">
        <v>0.03</v>
      </c>
      <c r="N28" s="33" t="n">
        <v>0.03</v>
      </c>
    </row>
    <row r="29">
      <c r="B29" s="30" t="inlineStr">
        <is>
          <t>Quantum / Anderon foundry capex, net of CHIPS ($M)</t>
        </is>
      </c>
      <c r="C29" s="31" t="inlineStr">
        <is>
          <t>—</t>
        </is>
      </c>
      <c r="D29" s="31" t="inlineStr">
        <is>
          <t>—</t>
        </is>
      </c>
      <c r="E29" s="34" t="n">
        <v>200</v>
      </c>
      <c r="F29" s="34" t="n">
        <v>600</v>
      </c>
      <c r="G29" s="34" t="n">
        <v>600</v>
      </c>
      <c r="H29" s="34" t="n">
        <v>500</v>
      </c>
      <c r="I29" s="34" t="n">
        <v>300</v>
      </c>
      <c r="J29" s="34" t="n">
        <v>300</v>
      </c>
      <c r="K29" s="34" t="n">
        <v>300</v>
      </c>
      <c r="L29" s="34" t="n">
        <v>300</v>
      </c>
      <c r="M29" s="34" t="n">
        <v>300</v>
      </c>
      <c r="N29" s="34" t="n">
        <v>300</v>
      </c>
    </row>
    <row r="30">
      <c r="B30" s="30" t="inlineStr">
        <is>
          <t>Δ Working capital (% of Δ revenue)</t>
        </is>
      </c>
      <c r="C30" s="31" t="inlineStr">
        <is>
          <t>—</t>
        </is>
      </c>
      <c r="D30" s="31" t="inlineStr">
        <is>
          <t>—</t>
        </is>
      </c>
      <c r="E30" s="33" t="n">
        <v>0.05</v>
      </c>
      <c r="F30" s="33" t="n">
        <v>0.05</v>
      </c>
      <c r="G30" s="33" t="n">
        <v>0.05</v>
      </c>
      <c r="H30" s="33" t="n">
        <v>0.05</v>
      </c>
      <c r="I30" s="33" t="n">
        <v>0.05</v>
      </c>
      <c r="J30" s="33" t="n">
        <v>0.05</v>
      </c>
      <c r="K30" s="33" t="n">
        <v>0.05</v>
      </c>
      <c r="L30" s="33" t="n">
        <v>0.05</v>
      </c>
      <c r="M30" s="33" t="n">
        <v>0.05</v>
      </c>
      <c r="N30" s="33" t="n">
        <v>0.05</v>
      </c>
    </row>
    <row r="31">
      <c r="B31" s="30" t="inlineStr">
        <is>
          <t>Cash tax rate</t>
        </is>
      </c>
      <c r="C31" s="31" t="inlineStr">
        <is>
          <t>—</t>
        </is>
      </c>
      <c r="D31" s="31" t="inlineStr">
        <is>
          <t>—</t>
        </is>
      </c>
      <c r="E31" s="33" t="n">
        <v>0.15</v>
      </c>
      <c r="F31" s="33" t="n">
        <v>0.15</v>
      </c>
      <c r="G31" s="33" t="n">
        <v>0.15</v>
      </c>
      <c r="H31" s="33" t="n">
        <v>0.15</v>
      </c>
      <c r="I31" s="33" t="n">
        <v>0.15</v>
      </c>
      <c r="J31" s="33" t="n">
        <v>0.15</v>
      </c>
      <c r="K31" s="33" t="n">
        <v>0.15</v>
      </c>
      <c r="L31" s="33" t="n">
        <v>0.15</v>
      </c>
      <c r="M31" s="33" t="n">
        <v>0.15</v>
      </c>
      <c r="N31" s="33" t="n">
        <v>0.15</v>
      </c>
    </row>
    <row r="34">
      <c r="B34" s="21" t="inlineStr">
        <is>
          <t>FY2025A REPORTED (calibration)</t>
        </is>
      </c>
    </row>
    <row r="35">
      <c r="B35" s="30" t="inlineStr">
        <is>
          <t>GAAP pre-tax income</t>
        </is>
      </c>
      <c r="C35" s="34" t="n">
        <v>10328</v>
      </c>
      <c r="D35" s="39" t="inlineStr">
        <is>
          <t>FY2025 release, Jan 28 2026</t>
        </is>
      </c>
    </row>
    <row r="36">
      <c r="B36" s="30" t="inlineStr">
        <is>
          <t>Interest expense</t>
        </is>
      </c>
      <c r="C36" s="34" t="n">
        <v>1935</v>
      </c>
      <c r="D36" s="39" t="inlineStr">
        <is>
          <t>2025 Annual Report</t>
        </is>
      </c>
    </row>
    <row r="37">
      <c r="B37" s="30" t="inlineStr">
        <is>
          <t>GAAP EBIT  (pre-tax + interest)</t>
        </is>
      </c>
      <c r="C37" s="35">
        <f>C35+C36</f>
        <v/>
      </c>
      <c r="D37" s="39" t="inlineStr">
        <is>
          <t>Formula</t>
        </is>
      </c>
    </row>
    <row r="38">
      <c r="B38" s="30" t="inlineStr">
        <is>
          <t>Depreciation &amp; amortization</t>
        </is>
      </c>
      <c r="C38" s="34" t="n">
        <v>5021</v>
      </c>
    </row>
    <row r="39">
      <c r="B39" s="30" t="inlineStr">
        <is>
          <t>Capital expenditures</t>
        </is>
      </c>
      <c r="C39" s="34" t="n">
        <v>1617</v>
      </c>
    </row>
    <row r="40">
      <c r="B40" s="30" t="inlineStr">
        <is>
          <t>Reported free cash flow (IBM definition)</t>
        </is>
      </c>
      <c r="C40" s="34" t="n">
        <v>14734</v>
      </c>
      <c r="D40" s="39" t="inlineStr">
        <is>
          <t>Adds back SBC; we treat SBC as a cost</t>
        </is>
      </c>
    </row>
    <row r="41">
      <c r="B41" s="30" t="inlineStr">
        <is>
          <t>Stock-based compensation</t>
        </is>
      </c>
      <c r="C41" s="34" t="n">
        <v>1715</v>
      </c>
    </row>
    <row r="43">
      <c r="B43" s="21" t="inlineStr">
        <is>
          <t>VALUATION DATE, MARKET DATA &amp; BALANCE SHEET</t>
        </is>
      </c>
    </row>
    <row r="44">
      <c r="B44" s="30" t="inlineStr">
        <is>
          <t>Valuation date</t>
        </is>
      </c>
      <c r="C44" s="40" t="n">
        <v>46309</v>
      </c>
      <c r="D44" s="39" t="inlineStr">
        <is>
          <t>Oct 14, 2026 close</t>
        </is>
      </c>
    </row>
    <row r="45">
      <c r="B45" s="30" t="inlineStr">
        <is>
          <t>FY2026 fiscal year end</t>
        </is>
      </c>
      <c r="C45" s="40" t="n">
        <v>46387</v>
      </c>
    </row>
    <row r="46">
      <c r="B46" s="30" t="inlineStr">
        <is>
          <t>Stub — fraction of FY2026E remaining</t>
        </is>
      </c>
      <c r="C46" s="41">
        <f>MAX(0,MIN(1,(C45-C44)/365))</f>
        <v/>
      </c>
      <c r="D46" s="39" t="inlineStr">
        <is>
          <t>Formula</t>
        </is>
      </c>
    </row>
    <row r="47">
      <c r="B47" s="30" t="inlineStr">
        <is>
          <t>Current share price ($)</t>
        </is>
      </c>
      <c r="C47" s="42" t="n">
        <v>227.88</v>
      </c>
      <c r="D47" s="39" t="inlineStr">
        <is>
          <t>NYSE: IBM, Oct 14 2026 close</t>
        </is>
      </c>
    </row>
    <row r="48">
      <c r="B48" s="30" t="inlineStr">
        <is>
          <t>52-week high ($)</t>
        </is>
      </c>
      <c r="C48" s="42" t="n">
        <v>332.46</v>
      </c>
    </row>
    <row r="49">
      <c r="B49" s="30" t="inlineStr">
        <is>
          <t>52-week low ($)</t>
        </is>
      </c>
      <c r="C49" s="42" t="n">
        <v>199.19</v>
      </c>
    </row>
    <row r="50">
      <c r="B50" s="30" t="inlineStr">
        <is>
          <t>Cash &amp; marketable securities</t>
        </is>
      </c>
      <c r="C50" s="34" t="n">
        <v>8177</v>
      </c>
      <c r="D50" s="39" t="inlineStr">
        <is>
          <t>Jun 30, 2026</t>
        </is>
      </c>
    </row>
    <row r="51">
      <c r="B51" s="30" t="inlineStr">
        <is>
          <t>Total debt</t>
        </is>
      </c>
      <c r="C51" s="34" t="n">
        <v>62000</v>
      </c>
      <c r="D51" s="39" t="inlineStr">
        <is>
          <t>Jun 30, 2026</t>
        </is>
      </c>
    </row>
    <row r="52">
      <c r="B52" s="30" t="inlineStr">
        <is>
          <t xml:space="preserve">  of which IBM Financing debt (self-funding receivables)</t>
        </is>
      </c>
      <c r="C52" s="34" t="n">
        <v>13000</v>
      </c>
      <c r="D52" s="39" t="inlineStr">
        <is>
          <t>Jun 30, 2026</t>
        </is>
      </c>
    </row>
    <row r="53">
      <c r="B53" s="30" t="inlineStr">
        <is>
          <t>Core debt  (total − Financing)</t>
        </is>
      </c>
      <c r="C53" s="35">
        <f>C51-C52</f>
        <v/>
      </c>
      <c r="D53" s="39" t="inlineStr">
        <is>
          <t>Formula — Financing profit is in segment profit</t>
        </is>
      </c>
    </row>
    <row r="54">
      <c r="B54" s="30" t="inlineStr">
        <is>
          <t>Diluted shares (M)</t>
        </is>
      </c>
      <c r="C54" s="43" t="n">
        <v>953.3</v>
      </c>
      <c r="D54" s="39" t="inlineStr">
        <is>
          <t>Q2 2026 diluted</t>
        </is>
      </c>
    </row>
    <row r="55">
      <c r="B55" s="30" t="inlineStr">
        <is>
          <t>Annual dividend per share ($)</t>
        </is>
      </c>
      <c r="C55" s="42" t="n">
        <v>6.76</v>
      </c>
    </row>
    <row r="56">
      <c r="B56" s="30" t="inlineStr">
        <is>
          <t>Analyst consensus PT ($)</t>
        </is>
      </c>
      <c r="C56" s="42" t="n">
        <v>242.65</v>
      </c>
      <c r="D56" s="39" t="inlineStr">
        <is>
          <t>25 analysts, Oct 2026</t>
        </is>
      </c>
    </row>
    <row r="58">
      <c r="B58" s="21" t="inlineStr">
        <is>
          <t>WACC, TERMINAL VALUE, RATING &amp; SENSITIVITY</t>
        </is>
      </c>
    </row>
    <row r="59">
      <c r="B59" s="30" t="inlineStr">
        <is>
          <t>Risk-free rate (10-yr UST)</t>
        </is>
      </c>
      <c r="C59" s="44" t="n">
        <v>0.051</v>
      </c>
      <c r="D59" s="39" t="inlineStr">
        <is>
          <t>~5.1%, mid-Oct 2026</t>
        </is>
      </c>
    </row>
    <row r="60">
      <c r="B60" s="30" t="inlineStr">
        <is>
          <t>Equity risk premium</t>
        </is>
      </c>
      <c r="C60" s="44" t="n">
        <v>0.043</v>
      </c>
    </row>
    <row r="61">
      <c r="B61" s="30" t="inlineStr">
        <is>
          <t>Levered beta (Blume-adjusted)</t>
        </is>
      </c>
      <c r="C61" s="45" t="n">
        <v>0.8100000000000001</v>
      </c>
      <c r="D61" s="39" t="inlineStr">
        <is>
          <t>Raw 5-yr beta 0.72</t>
        </is>
      </c>
    </row>
    <row r="62">
      <c r="B62" s="30" t="inlineStr">
        <is>
          <t>Pre-tax cost of debt</t>
        </is>
      </c>
      <c r="C62" s="44" t="n">
        <v>0.048</v>
      </c>
      <c r="D62" s="39" t="inlineStr">
        <is>
          <t>IBM senior notes</t>
        </is>
      </c>
    </row>
    <row r="63">
      <c r="B63" s="30" t="inlineStr">
        <is>
          <t>Tax rate (debt shield)</t>
        </is>
      </c>
      <c r="C63" s="44" t="n">
        <v>0.15</v>
      </c>
    </row>
    <row r="64">
      <c r="B64" s="30" t="inlineStr">
        <is>
          <t>Core debt / total capital</t>
        </is>
      </c>
      <c r="C64" s="46">
        <f>C53/(C53+C47*C54)</f>
        <v/>
      </c>
      <c r="D64" s="39" t="inlineStr">
        <is>
          <t>Formula — market weights</t>
        </is>
      </c>
    </row>
    <row r="65">
      <c r="B65" s="30" t="inlineStr">
        <is>
          <t>Terminal growth rate</t>
        </is>
      </c>
      <c r="C65" s="44" t="n">
        <v>0.025</v>
      </c>
    </row>
    <row r="66">
      <c r="B66" s="30" t="inlineStr">
        <is>
          <t>Overweight if PT upside ≥</t>
        </is>
      </c>
      <c r="C66" s="33" t="n">
        <v>0.1</v>
      </c>
    </row>
    <row r="67">
      <c r="B67" s="30" t="inlineStr">
        <is>
          <t>Underweight if PT upside ≤</t>
        </is>
      </c>
      <c r="C67" s="33" t="n">
        <v>-0.1</v>
      </c>
      <c r="D67" s="39" t="inlineStr">
        <is>
          <t>Otherwise Equal-Weight</t>
        </is>
      </c>
    </row>
    <row r="68">
      <c r="B68" s="30" t="inlineStr">
        <is>
          <t>Round PT to nearest ($)</t>
        </is>
      </c>
      <c r="C68" s="47" t="n">
        <v>5</v>
      </c>
    </row>
    <row r="69">
      <c r="B69" s="30" t="inlineStr">
        <is>
          <t>Sensitivity step — WACC</t>
        </is>
      </c>
      <c r="C69" s="44" t="n">
        <v>0.005</v>
      </c>
    </row>
    <row r="70">
      <c r="B70" s="30" t="inlineStr">
        <is>
          <t>Sensitivity step — terminal growth</t>
        </is>
      </c>
      <c r="C70" s="44" t="n">
        <v>0.005</v>
      </c>
    </row>
    <row r="72">
      <c r="B72" s="21" t="inlineStr">
        <is>
          <t>SCENARIO PARAMETERS  (core adjustments apply FY2027E+; quantum scale multiplies quantum revenue)</t>
        </is>
      </c>
    </row>
    <row r="73">
      <c r="B73" s="27" t="inlineStr">
        <is>
          <t>Parameter</t>
        </is>
      </c>
      <c r="C73" s="48" t="inlineStr">
        <is>
          <t>Bear</t>
        </is>
      </c>
      <c r="D73" s="48" t="inlineStr">
        <is>
          <t>Base</t>
        </is>
      </c>
      <c r="E73" s="48" t="inlineStr">
        <is>
          <t>Bull</t>
        </is>
      </c>
      <c r="F73" s="48" t="inlineStr">
        <is>
          <t>Q Stalls</t>
        </is>
      </c>
      <c r="G73" s="48" t="inlineStr">
        <is>
          <t>Q Base</t>
        </is>
      </c>
      <c r="H73" s="48" t="inlineStr">
        <is>
          <t>Q Breakout</t>
        </is>
      </c>
      <c r="I73" s="48" t="inlineStr">
        <is>
          <t>Q Dominant</t>
        </is>
      </c>
    </row>
    <row r="74">
      <c r="B74" s="30" t="inlineStr">
        <is>
          <t>Revenue growth adj. — Software, Consulting, Infrastructure (pp)</t>
        </is>
      </c>
      <c r="C74" s="33" t="n">
        <v>-0.03</v>
      </c>
      <c r="D74" s="33" t="n">
        <v>0</v>
      </c>
      <c r="E74" s="33" t="n">
        <v>0.02</v>
      </c>
      <c r="F74" s="33" t="n">
        <v>0</v>
      </c>
      <c r="G74" s="33" t="n">
        <v>0</v>
      </c>
      <c r="H74" s="33" t="n">
        <v>0</v>
      </c>
      <c r="I74" s="33" t="n">
        <v>0</v>
      </c>
    </row>
    <row r="75">
      <c r="B75" s="30" t="inlineStr">
        <is>
          <t>Segment margin adj. — Software, Consulting, Infrastructure (pp)</t>
        </is>
      </c>
      <c r="C75" s="33" t="n">
        <v>-0.02</v>
      </c>
      <c r="D75" s="33" t="n">
        <v>0</v>
      </c>
      <c r="E75" s="33" t="n">
        <v>0.015</v>
      </c>
      <c r="F75" s="33" t="n">
        <v>0</v>
      </c>
      <c r="G75" s="33" t="n">
        <v>0</v>
      </c>
      <c r="H75" s="33" t="n">
        <v>0</v>
      </c>
      <c r="I75" s="33" t="n">
        <v>0</v>
      </c>
    </row>
    <row r="76">
      <c r="B76" s="30" t="inlineStr">
        <is>
          <t>WACC adj. vs. base (pp)</t>
        </is>
      </c>
      <c r="C76" s="44" t="n">
        <v>0.005</v>
      </c>
      <c r="D76" s="44" t="n">
        <v>0</v>
      </c>
      <c r="E76" s="44" t="n">
        <v>-0.005</v>
      </c>
      <c r="F76" s="44" t="n">
        <v>0</v>
      </c>
      <c r="G76" s="44" t="n">
        <v>0</v>
      </c>
      <c r="H76" s="44" t="n">
        <v>0</v>
      </c>
      <c r="I76" s="44" t="n">
        <v>0</v>
      </c>
    </row>
    <row r="77">
      <c r="B77" s="30" t="inlineStr">
        <is>
          <t>Terminal growth</t>
        </is>
      </c>
      <c r="C77" s="44" t="n">
        <v>0.02</v>
      </c>
      <c r="D77" s="46">
        <f>$C$65</f>
        <v/>
      </c>
      <c r="E77" s="44" t="n">
        <v>0.03</v>
      </c>
      <c r="F77" s="46">
        <f>$C$65</f>
        <v/>
      </c>
      <c r="G77" s="46">
        <f>$C$65</f>
        <v/>
      </c>
      <c r="H77" s="46">
        <f>$C$65</f>
        <v/>
      </c>
      <c r="I77" s="46">
        <f>$C$65</f>
        <v/>
      </c>
    </row>
    <row r="78">
      <c r="B78" s="30" t="inlineStr">
        <is>
          <t>Quantum revenue scale (× base path)</t>
        </is>
      </c>
      <c r="C78" s="49" t="n">
        <v>1</v>
      </c>
      <c r="D78" s="49" t="n">
        <v>1</v>
      </c>
      <c r="E78" s="49" t="n">
        <v>1</v>
      </c>
      <c r="F78" s="49" t="n">
        <v>0.25</v>
      </c>
      <c r="G78" s="49" t="n">
        <v>1</v>
      </c>
      <c r="H78" s="49" t="n">
        <v>3</v>
      </c>
      <c r="I78" s="49" t="n">
        <v>6</v>
      </c>
    </row>
    <row r="79">
      <c r="B79" s="30" t="inlineStr">
        <is>
          <t>Probability weight (quantum scenarios → Price Target)</t>
        </is>
      </c>
      <c r="F79" s="33" t="n">
        <v>0.25</v>
      </c>
      <c r="G79" s="33" t="n">
        <v>0.45</v>
      </c>
      <c r="H79" s="33" t="n">
        <v>0.22</v>
      </c>
      <c r="I79" s="33" t="n">
        <v>0.08</v>
      </c>
    </row>
    <row r="80">
      <c r="B80" s="38" t="inlineStr">
        <is>
          <t xml:space="preserve">  Probability check (must = 100%)</t>
        </is>
      </c>
      <c r="F80" s="32">
        <f>SUM(F79:I79)</f>
        <v/>
      </c>
    </row>
    <row r="82" ht="40" customHeight="1">
      <c r="B82" s="50" t="inlineStr">
        <is>
          <t>Sources: IBM FY2025 results (Jan 28 2026) and 2025 Annual Report; Q2 2026 results (Jul 22 2026) and 10-Q; Confluent acquisition closed Mar 17 2026; $10B+ quantum investment plan and Anderon foundry (~$1B CHIPS + $1B IBM, Jun 2026); Starling fault-tolerant system targeted 2H 2029. Quantum revenue, margins and program costs are analyst estimates — IBM does not disclose quantum revenue (&gt;$1B cumulative bookings since 2017).</t>
        </is>
      </c>
    </row>
    <row r="83" ht="4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>
      <c r="B84" s="25" t="inlineStr">
        <is>
          <t>Francisco Rodriguez  |  Financial Modeling Portfolio  |  github.com/Azyo1</t>
        </is>
      </c>
    </row>
  </sheetData>
  <mergeCells count="10">
    <mergeCell ref="B4:N4"/>
    <mergeCell ref="B26:N26"/>
    <mergeCell ref="B18:N18"/>
    <mergeCell ref="B43:N43"/>
    <mergeCell ref="B58:N58"/>
    <mergeCell ref="B82:N82"/>
    <mergeCell ref="B72:N72"/>
    <mergeCell ref="B2:N2"/>
    <mergeCell ref="B34:N34"/>
    <mergeCell ref="B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.5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B2" s="26" t="inlineStr">
        <is>
          <t>IBM — Segment Operating Model &amp; Unlevered Free Cash Flow ($M)</t>
        </is>
      </c>
    </row>
    <row r="3">
      <c r="B3" s="27" t="inlineStr"/>
      <c r="C3" s="28" t="inlineStr">
        <is>
          <t>FY2024A</t>
        </is>
      </c>
      <c r="D3" s="28" t="inlineStr">
        <is>
          <t>FY2025A</t>
        </is>
      </c>
      <c r="E3" s="29" t="inlineStr">
        <is>
          <t>FY2026E</t>
        </is>
      </c>
      <c r="F3" s="29" t="inlineStr">
        <is>
          <t>FY2027E</t>
        </is>
      </c>
      <c r="G3" s="29" t="inlineStr">
        <is>
          <t>FY2028E</t>
        </is>
      </c>
      <c r="H3" s="29" t="inlineStr">
        <is>
          <t>FY2029E</t>
        </is>
      </c>
      <c r="I3" s="29" t="inlineStr">
        <is>
          <t>FY2030E</t>
        </is>
      </c>
      <c r="J3" s="29" t="inlineStr">
        <is>
          <t>FY2031E</t>
        </is>
      </c>
      <c r="K3" s="29" t="inlineStr">
        <is>
          <t>FY2032E</t>
        </is>
      </c>
      <c r="L3" s="29" t="inlineStr">
        <is>
          <t>FY2033E</t>
        </is>
      </c>
      <c r="M3" s="29" t="inlineStr">
        <is>
          <t>FY2034E</t>
        </is>
      </c>
      <c r="N3" s="29" t="inlineStr">
        <is>
          <t>FY2035E</t>
        </is>
      </c>
    </row>
    <row r="4">
      <c r="B4" s="21" t="inlineStr">
        <is>
          <t>REVENUE</t>
        </is>
      </c>
    </row>
    <row r="5">
      <c r="B5" s="51" t="inlineStr">
        <is>
          <t>Software</t>
        </is>
      </c>
      <c r="C5" s="52">
        <f>Assumptions!C11</f>
        <v/>
      </c>
      <c r="D5" s="52">
        <f>Assumptions!D11</f>
        <v/>
      </c>
      <c r="E5" s="52">
        <f>Assumptions!E11</f>
        <v/>
      </c>
      <c r="F5" s="52">
        <f>Assumptions!F11</f>
        <v/>
      </c>
      <c r="G5" s="52">
        <f>Assumptions!G11</f>
        <v/>
      </c>
      <c r="H5" s="52">
        <f>Assumptions!H11</f>
        <v/>
      </c>
      <c r="I5" s="52">
        <f>Assumptions!I11</f>
        <v/>
      </c>
      <c r="J5" s="52">
        <f>Assumptions!J11</f>
        <v/>
      </c>
      <c r="K5" s="52">
        <f>Assumptions!K11</f>
        <v/>
      </c>
      <c r="L5" s="52">
        <f>Assumptions!L11</f>
        <v/>
      </c>
      <c r="M5" s="52">
        <f>Assumptions!M11</f>
        <v/>
      </c>
      <c r="N5" s="52">
        <f>Assumptions!N11</f>
        <v/>
      </c>
    </row>
    <row r="6">
      <c r="B6" s="51" t="inlineStr">
        <is>
          <t>Consulting</t>
        </is>
      </c>
      <c r="C6" s="52">
        <f>Assumptions!C12</f>
        <v/>
      </c>
      <c r="D6" s="52">
        <f>Assumptions!D12</f>
        <v/>
      </c>
      <c r="E6" s="52">
        <f>Assumptions!E12</f>
        <v/>
      </c>
      <c r="F6" s="52">
        <f>Assumptions!F12</f>
        <v/>
      </c>
      <c r="G6" s="52">
        <f>Assumptions!G12</f>
        <v/>
      </c>
      <c r="H6" s="52">
        <f>Assumptions!H12</f>
        <v/>
      </c>
      <c r="I6" s="52">
        <f>Assumptions!I12</f>
        <v/>
      </c>
      <c r="J6" s="52">
        <f>Assumptions!J12</f>
        <v/>
      </c>
      <c r="K6" s="52">
        <f>Assumptions!K12</f>
        <v/>
      </c>
      <c r="L6" s="52">
        <f>Assumptions!L12</f>
        <v/>
      </c>
      <c r="M6" s="52">
        <f>Assumptions!M12</f>
        <v/>
      </c>
      <c r="N6" s="52">
        <f>Assumptions!N12</f>
        <v/>
      </c>
    </row>
    <row r="7">
      <c r="B7" s="51" t="inlineStr">
        <is>
          <t>Infrastructure</t>
        </is>
      </c>
      <c r="C7" s="52">
        <f>Assumptions!C13</f>
        <v/>
      </c>
      <c r="D7" s="52">
        <f>Assumptions!D13</f>
        <v/>
      </c>
      <c r="E7" s="52">
        <f>Assumptions!E13</f>
        <v/>
      </c>
      <c r="F7" s="52">
        <f>Assumptions!F13</f>
        <v/>
      </c>
      <c r="G7" s="52">
        <f>Assumptions!G13</f>
        <v/>
      </c>
      <c r="H7" s="52">
        <f>Assumptions!H13</f>
        <v/>
      </c>
      <c r="I7" s="52">
        <f>Assumptions!I13</f>
        <v/>
      </c>
      <c r="J7" s="52">
        <f>Assumptions!J13</f>
        <v/>
      </c>
      <c r="K7" s="52">
        <f>Assumptions!K13</f>
        <v/>
      </c>
      <c r="L7" s="52">
        <f>Assumptions!L13</f>
        <v/>
      </c>
      <c r="M7" s="52">
        <f>Assumptions!M13</f>
        <v/>
      </c>
      <c r="N7" s="52">
        <f>Assumptions!N13</f>
        <v/>
      </c>
    </row>
    <row r="8">
      <c r="B8" s="51" t="inlineStr">
        <is>
          <t>Financing</t>
        </is>
      </c>
      <c r="C8" s="52">
        <f>Assumptions!C14</f>
        <v/>
      </c>
      <c r="D8" s="52">
        <f>Assumptions!D14</f>
        <v/>
      </c>
      <c r="E8" s="52">
        <f>Assumptions!E14</f>
        <v/>
      </c>
      <c r="F8" s="52">
        <f>Assumptions!F14</f>
        <v/>
      </c>
      <c r="G8" s="52">
        <f>Assumptions!G14</f>
        <v/>
      </c>
      <c r="H8" s="52">
        <f>Assumptions!H14</f>
        <v/>
      </c>
      <c r="I8" s="52">
        <f>Assumptions!I14</f>
        <v/>
      </c>
      <c r="J8" s="52">
        <f>Assumptions!J14</f>
        <v/>
      </c>
      <c r="K8" s="52">
        <f>Assumptions!K14</f>
        <v/>
      </c>
      <c r="L8" s="52">
        <f>Assumptions!L14</f>
        <v/>
      </c>
      <c r="M8" s="52">
        <f>Assumptions!M14</f>
        <v/>
      </c>
      <c r="N8" s="52">
        <f>Assumptions!N14</f>
        <v/>
      </c>
    </row>
    <row r="9">
      <c r="B9" s="51" t="inlineStr">
        <is>
          <t>Quantum (incremental)</t>
        </is>
      </c>
      <c r="C9" s="31" t="inlineStr">
        <is>
          <t>—</t>
        </is>
      </c>
      <c r="D9" s="31" t="inlineStr">
        <is>
          <t>—</t>
        </is>
      </c>
      <c r="E9" s="52">
        <f>Assumptions!E15</f>
        <v/>
      </c>
      <c r="F9" s="52">
        <f>Assumptions!F15</f>
        <v/>
      </c>
      <c r="G9" s="52">
        <f>Assumptions!G15</f>
        <v/>
      </c>
      <c r="H9" s="52">
        <f>Assumptions!H15</f>
        <v/>
      </c>
      <c r="I9" s="52">
        <f>Assumptions!I15</f>
        <v/>
      </c>
      <c r="J9" s="52">
        <f>Assumptions!J15</f>
        <v/>
      </c>
      <c r="K9" s="52">
        <f>Assumptions!K15</f>
        <v/>
      </c>
      <c r="L9" s="52">
        <f>Assumptions!L15</f>
        <v/>
      </c>
      <c r="M9" s="52">
        <f>Assumptions!M15</f>
        <v/>
      </c>
      <c r="N9" s="52">
        <f>Assumptions!N15</f>
        <v/>
      </c>
    </row>
    <row r="10">
      <c r="B10" s="36" t="inlineStr">
        <is>
          <t>Total Revenue</t>
        </is>
      </c>
      <c r="C10" s="37">
        <f>SUM(C5:C8)+N(C9)</f>
        <v/>
      </c>
      <c r="D10" s="37">
        <f>SUM(D5:D8)+N(D9)</f>
        <v/>
      </c>
      <c r="E10" s="37">
        <f>SUM(E5:E8)+N(E9)</f>
        <v/>
      </c>
      <c r="F10" s="37">
        <f>SUM(F5:F8)+N(F9)</f>
        <v/>
      </c>
      <c r="G10" s="37">
        <f>SUM(G5:G8)+N(G9)</f>
        <v/>
      </c>
      <c r="H10" s="37">
        <f>SUM(H5:H8)+N(H9)</f>
        <v/>
      </c>
      <c r="I10" s="37">
        <f>SUM(I5:I8)+N(I9)</f>
        <v/>
      </c>
      <c r="J10" s="37">
        <f>SUM(J5:J8)+N(J9)</f>
        <v/>
      </c>
      <c r="K10" s="37">
        <f>SUM(K5:K8)+N(K9)</f>
        <v/>
      </c>
      <c r="L10" s="37">
        <f>SUM(L5:L8)+N(L9)</f>
        <v/>
      </c>
      <c r="M10" s="37">
        <f>SUM(M5:M8)+N(M9)</f>
        <v/>
      </c>
      <c r="N10" s="37">
        <f>SUM(N5:N8)+N(N9)</f>
        <v/>
      </c>
    </row>
    <row r="11">
      <c r="B11" s="53" t="inlineStr">
        <is>
          <t xml:space="preserve">  YoY Growth %</t>
        </is>
      </c>
      <c r="D11" s="32">
        <f>D10/C10-1</f>
        <v/>
      </c>
      <c r="E11" s="32">
        <f>E10/D10-1</f>
        <v/>
      </c>
      <c r="F11" s="32">
        <f>F10/E10-1</f>
        <v/>
      </c>
      <c r="G11" s="32">
        <f>G10/F10-1</f>
        <v/>
      </c>
      <c r="H11" s="32">
        <f>H10/G10-1</f>
        <v/>
      </c>
      <c r="I11" s="32">
        <f>I10/H10-1</f>
        <v/>
      </c>
      <c r="J11" s="32">
        <f>J10/I10-1</f>
        <v/>
      </c>
      <c r="K11" s="32">
        <f>K10/J10-1</f>
        <v/>
      </c>
      <c r="L11" s="32">
        <f>L10/K10-1</f>
        <v/>
      </c>
      <c r="M11" s="32">
        <f>M10/L10-1</f>
        <v/>
      </c>
      <c r="N11" s="32">
        <f>N10/M10-1</f>
        <v/>
      </c>
    </row>
    <row r="12">
      <c r="B12" s="21" t="inlineStr">
        <is>
          <t>SEGMENT PROFIT (pre-tax)</t>
        </is>
      </c>
    </row>
    <row r="13">
      <c r="B13" s="51" t="inlineStr">
        <is>
          <t>Software</t>
        </is>
      </c>
      <c r="D13" s="35">
        <f>D5*Assumptions!D19</f>
        <v/>
      </c>
      <c r="E13" s="35">
        <f>E5*Assumptions!E19</f>
        <v/>
      </c>
      <c r="F13" s="35">
        <f>F5*Assumptions!F19</f>
        <v/>
      </c>
      <c r="G13" s="35">
        <f>G5*Assumptions!G19</f>
        <v/>
      </c>
      <c r="H13" s="35">
        <f>H5*Assumptions!H19</f>
        <v/>
      </c>
      <c r="I13" s="35">
        <f>I5*Assumptions!I19</f>
        <v/>
      </c>
      <c r="J13" s="35">
        <f>J5*Assumptions!J19</f>
        <v/>
      </c>
      <c r="K13" s="35">
        <f>K5*Assumptions!K19</f>
        <v/>
      </c>
      <c r="L13" s="35">
        <f>L5*Assumptions!L19</f>
        <v/>
      </c>
      <c r="M13" s="35">
        <f>M5*Assumptions!M19</f>
        <v/>
      </c>
      <c r="N13" s="35">
        <f>N5*Assumptions!N19</f>
        <v/>
      </c>
    </row>
    <row r="14">
      <c r="B14" s="51" t="inlineStr">
        <is>
          <t>Consulting</t>
        </is>
      </c>
      <c r="D14" s="35">
        <f>D6*Assumptions!D20</f>
        <v/>
      </c>
      <c r="E14" s="35">
        <f>E6*Assumptions!E20</f>
        <v/>
      </c>
      <c r="F14" s="35">
        <f>F6*Assumptions!F20</f>
        <v/>
      </c>
      <c r="G14" s="35">
        <f>G6*Assumptions!G20</f>
        <v/>
      </c>
      <c r="H14" s="35">
        <f>H6*Assumptions!H20</f>
        <v/>
      </c>
      <c r="I14" s="35">
        <f>I6*Assumptions!I20</f>
        <v/>
      </c>
      <c r="J14" s="35">
        <f>J6*Assumptions!J20</f>
        <v/>
      </c>
      <c r="K14" s="35">
        <f>K6*Assumptions!K20</f>
        <v/>
      </c>
      <c r="L14" s="35">
        <f>L6*Assumptions!L20</f>
        <v/>
      </c>
      <c r="M14" s="35">
        <f>M6*Assumptions!M20</f>
        <v/>
      </c>
      <c r="N14" s="35">
        <f>N6*Assumptions!N20</f>
        <v/>
      </c>
    </row>
    <row r="15">
      <c r="B15" s="51" t="inlineStr">
        <is>
          <t>Infrastructure</t>
        </is>
      </c>
      <c r="D15" s="35">
        <f>D7*Assumptions!D21</f>
        <v/>
      </c>
      <c r="E15" s="35">
        <f>E7*Assumptions!E21</f>
        <v/>
      </c>
      <c r="F15" s="35">
        <f>F7*Assumptions!F21</f>
        <v/>
      </c>
      <c r="G15" s="35">
        <f>G7*Assumptions!G21</f>
        <v/>
      </c>
      <c r="H15" s="35">
        <f>H7*Assumptions!H21</f>
        <v/>
      </c>
      <c r="I15" s="35">
        <f>I7*Assumptions!I21</f>
        <v/>
      </c>
      <c r="J15" s="35">
        <f>J7*Assumptions!J21</f>
        <v/>
      </c>
      <c r="K15" s="35">
        <f>K7*Assumptions!K21</f>
        <v/>
      </c>
      <c r="L15" s="35">
        <f>L7*Assumptions!L21</f>
        <v/>
      </c>
      <c r="M15" s="35">
        <f>M7*Assumptions!M21</f>
        <v/>
      </c>
      <c r="N15" s="35">
        <f>N7*Assumptions!N21</f>
        <v/>
      </c>
    </row>
    <row r="16">
      <c r="B16" s="51" t="inlineStr">
        <is>
          <t>Financing</t>
        </is>
      </c>
      <c r="D16" s="35">
        <f>D8*Assumptions!D22</f>
        <v/>
      </c>
      <c r="E16" s="35">
        <f>E8*Assumptions!E22</f>
        <v/>
      </c>
      <c r="F16" s="35">
        <f>F8*Assumptions!F22</f>
        <v/>
      </c>
      <c r="G16" s="35">
        <f>G8*Assumptions!G22</f>
        <v/>
      </c>
      <c r="H16" s="35">
        <f>H8*Assumptions!H22</f>
        <v/>
      </c>
      <c r="I16" s="35">
        <f>I8*Assumptions!I22</f>
        <v/>
      </c>
      <c r="J16" s="35">
        <f>J8*Assumptions!J22</f>
        <v/>
      </c>
      <c r="K16" s="35">
        <f>K8*Assumptions!K22</f>
        <v/>
      </c>
      <c r="L16" s="35">
        <f>L8*Assumptions!L22</f>
        <v/>
      </c>
      <c r="M16" s="35">
        <f>M8*Assumptions!M22</f>
        <v/>
      </c>
      <c r="N16" s="35">
        <f>N8*Assumptions!N22</f>
        <v/>
      </c>
    </row>
    <row r="17">
      <c r="B17" s="51" t="inlineStr">
        <is>
          <t>Quantum  [rev × contribution margin − program opex]</t>
        </is>
      </c>
      <c r="D17" s="31" t="inlineStr">
        <is>
          <t>—</t>
        </is>
      </c>
      <c r="E17" s="35">
        <f>E9*Assumptions!E23-Assumptions!E24</f>
        <v/>
      </c>
      <c r="F17" s="35">
        <f>F9*Assumptions!F23-Assumptions!F24</f>
        <v/>
      </c>
      <c r="G17" s="35">
        <f>G9*Assumptions!G23-Assumptions!G24</f>
        <v/>
      </c>
      <c r="H17" s="35">
        <f>H9*Assumptions!H23-Assumptions!H24</f>
        <v/>
      </c>
      <c r="I17" s="35">
        <f>I9*Assumptions!I23-Assumptions!I24</f>
        <v/>
      </c>
      <c r="J17" s="35">
        <f>J9*Assumptions!J23-Assumptions!J24</f>
        <v/>
      </c>
      <c r="K17" s="35">
        <f>K9*Assumptions!K23-Assumptions!K24</f>
        <v/>
      </c>
      <c r="L17" s="35">
        <f>L9*Assumptions!L23-Assumptions!L24</f>
        <v/>
      </c>
      <c r="M17" s="35">
        <f>M9*Assumptions!M23-Assumptions!M24</f>
        <v/>
      </c>
      <c r="N17" s="35">
        <f>N9*Assumptions!N23-Assumptions!N24</f>
        <v/>
      </c>
    </row>
    <row r="18">
      <c r="B18" s="36" t="inlineStr">
        <is>
          <t>Total segment profit</t>
        </is>
      </c>
      <c r="D18" s="37">
        <f>SUM(D13:D16)</f>
        <v/>
      </c>
      <c r="E18" s="37">
        <f>SUM(E13:E17)</f>
        <v/>
      </c>
      <c r="F18" s="37">
        <f>SUM(F13:F17)</f>
        <v/>
      </c>
      <c r="G18" s="37">
        <f>SUM(G13:G17)</f>
        <v/>
      </c>
      <c r="H18" s="37">
        <f>SUM(H13:H17)</f>
        <v/>
      </c>
      <c r="I18" s="37">
        <f>SUM(I13:I17)</f>
        <v/>
      </c>
      <c r="J18" s="37">
        <f>SUM(J13:J17)</f>
        <v/>
      </c>
      <c r="K18" s="37">
        <f>SUM(K13:K17)</f>
        <v/>
      </c>
      <c r="L18" s="37">
        <f>SUM(L13:L17)</f>
        <v/>
      </c>
      <c r="M18" s="37">
        <f>SUM(M13:M17)</f>
        <v/>
      </c>
      <c r="N18" s="37">
        <f>SUM(N13:N17)</f>
        <v/>
      </c>
    </row>
    <row r="19">
      <c r="B19" s="51" t="inlineStr">
        <is>
          <t>Less: unallocated corporate, amortization &amp; other</t>
        </is>
      </c>
      <c r="D19" s="35">
        <f>-(D18-Assumptions!$C$37)</f>
        <v/>
      </c>
      <c r="E19" s="35">
        <f>-E10*Assumptions!E25</f>
        <v/>
      </c>
      <c r="F19" s="35">
        <f>-F10*Assumptions!F25</f>
        <v/>
      </c>
      <c r="G19" s="35">
        <f>-G10*Assumptions!G25</f>
        <v/>
      </c>
      <c r="H19" s="35">
        <f>-H10*Assumptions!H25</f>
        <v/>
      </c>
      <c r="I19" s="35">
        <f>-I10*Assumptions!I25</f>
        <v/>
      </c>
      <c r="J19" s="35">
        <f>-J10*Assumptions!J25</f>
        <v/>
      </c>
      <c r="K19" s="35">
        <f>-K10*Assumptions!K25</f>
        <v/>
      </c>
      <c r="L19" s="35">
        <f>-L10*Assumptions!L25</f>
        <v/>
      </c>
      <c r="M19" s="35">
        <f>-M10*Assumptions!M25</f>
        <v/>
      </c>
      <c r="N19" s="35">
        <f>-N10*Assumptions!N25</f>
        <v/>
      </c>
    </row>
    <row r="20">
      <c r="B20" s="36" t="inlineStr">
        <is>
          <t>EBIT (GAAP basis)</t>
        </is>
      </c>
      <c r="D20" s="37">
        <f>D18+D19</f>
        <v/>
      </c>
      <c r="E20" s="37">
        <f>E18+E19</f>
        <v/>
      </c>
      <c r="F20" s="37">
        <f>F18+F19</f>
        <v/>
      </c>
      <c r="G20" s="37">
        <f>G18+G19</f>
        <v/>
      </c>
      <c r="H20" s="37">
        <f>H18+H19</f>
        <v/>
      </c>
      <c r="I20" s="37">
        <f>I18+I19</f>
        <v/>
      </c>
      <c r="J20" s="37">
        <f>J18+J19</f>
        <v/>
      </c>
      <c r="K20" s="37">
        <f>K18+K19</f>
        <v/>
      </c>
      <c r="L20" s="37">
        <f>L18+L19</f>
        <v/>
      </c>
      <c r="M20" s="37">
        <f>M18+M19</f>
        <v/>
      </c>
      <c r="N20" s="37">
        <f>N18+N19</f>
        <v/>
      </c>
    </row>
    <row r="21">
      <c r="B21" s="53" t="inlineStr">
        <is>
          <t xml:space="preserve">  EBIT Margin %</t>
        </is>
      </c>
      <c r="D21" s="32">
        <f>D20/D10</f>
        <v/>
      </c>
      <c r="E21" s="32">
        <f>E20/E10</f>
        <v/>
      </c>
      <c r="F21" s="32">
        <f>F20/F10</f>
        <v/>
      </c>
      <c r="G21" s="32">
        <f>G20/G10</f>
        <v/>
      </c>
      <c r="H21" s="32">
        <f>H20/H10</f>
        <v/>
      </c>
      <c r="I21" s="32">
        <f>I20/I10</f>
        <v/>
      </c>
      <c r="J21" s="32">
        <f>J20/J10</f>
        <v/>
      </c>
      <c r="K21" s="32">
        <f>K20/K10</f>
        <v/>
      </c>
      <c r="L21" s="32">
        <f>L20/L10</f>
        <v/>
      </c>
      <c r="M21" s="32">
        <f>M20/M10</f>
        <v/>
      </c>
      <c r="N21" s="32">
        <f>N20/N10</f>
        <v/>
      </c>
    </row>
    <row r="22">
      <c r="B22" s="21" t="inlineStr">
        <is>
          <t>UNLEVERED FREE CASH FLOW  (forecast; SBC treated as a cost)</t>
        </is>
      </c>
    </row>
    <row r="23">
      <c r="B23" s="51" t="inlineStr">
        <is>
          <t>EBIT</t>
        </is>
      </c>
      <c r="E23" s="35">
        <f>E20</f>
        <v/>
      </c>
      <c r="F23" s="35">
        <f>F20</f>
        <v/>
      </c>
      <c r="G23" s="35">
        <f>G20</f>
        <v/>
      </c>
      <c r="H23" s="35">
        <f>H20</f>
        <v/>
      </c>
      <c r="I23" s="35">
        <f>I20</f>
        <v/>
      </c>
      <c r="J23" s="35">
        <f>J20</f>
        <v/>
      </c>
      <c r="K23" s="35">
        <f>K20</f>
        <v/>
      </c>
      <c r="L23" s="35">
        <f>L20</f>
        <v/>
      </c>
      <c r="M23" s="35">
        <f>M20</f>
        <v/>
      </c>
      <c r="N23" s="35">
        <f>N20</f>
        <v/>
      </c>
    </row>
    <row r="24">
      <c r="B24" s="51" t="inlineStr">
        <is>
          <t xml:space="preserve">  Less: cash taxes</t>
        </is>
      </c>
      <c r="E24" s="35">
        <f>-MAX(0,E23)*Assumptions!E31</f>
        <v/>
      </c>
      <c r="F24" s="35">
        <f>-MAX(0,F23)*Assumptions!F31</f>
        <v/>
      </c>
      <c r="G24" s="35">
        <f>-MAX(0,G23)*Assumptions!G31</f>
        <v/>
      </c>
      <c r="H24" s="35">
        <f>-MAX(0,H23)*Assumptions!H31</f>
        <v/>
      </c>
      <c r="I24" s="35">
        <f>-MAX(0,I23)*Assumptions!I31</f>
        <v/>
      </c>
      <c r="J24" s="35">
        <f>-MAX(0,J23)*Assumptions!J31</f>
        <v/>
      </c>
      <c r="K24" s="35">
        <f>-MAX(0,K23)*Assumptions!K31</f>
        <v/>
      </c>
      <c r="L24" s="35">
        <f>-MAX(0,L23)*Assumptions!L31</f>
        <v/>
      </c>
      <c r="M24" s="35">
        <f>-MAX(0,M23)*Assumptions!M31</f>
        <v/>
      </c>
      <c r="N24" s="35">
        <f>-MAX(0,N23)*Assumptions!N31</f>
        <v/>
      </c>
    </row>
    <row r="25">
      <c r="B25" s="36" t="inlineStr">
        <is>
          <t>NOPAT</t>
        </is>
      </c>
      <c r="E25" s="37">
        <f>E23+E24</f>
        <v/>
      </c>
      <c r="F25" s="37">
        <f>F23+F24</f>
        <v/>
      </c>
      <c r="G25" s="37">
        <f>G23+G24</f>
        <v/>
      </c>
      <c r="H25" s="37">
        <f>H23+H24</f>
        <v/>
      </c>
      <c r="I25" s="37">
        <f>I23+I24</f>
        <v/>
      </c>
      <c r="J25" s="37">
        <f>J23+J24</f>
        <v/>
      </c>
      <c r="K25" s="37">
        <f>K23+K24</f>
        <v/>
      </c>
      <c r="L25" s="37">
        <f>L23+L24</f>
        <v/>
      </c>
      <c r="M25" s="37">
        <f>M23+M24</f>
        <v/>
      </c>
      <c r="N25" s="37">
        <f>N23+N24</f>
        <v/>
      </c>
    </row>
    <row r="26">
      <c r="B26" s="51" t="inlineStr">
        <is>
          <t xml:space="preserve">  Plus: D&amp;A</t>
        </is>
      </c>
      <c r="E26" s="35">
        <f>E10*Assumptions!E27</f>
        <v/>
      </c>
      <c r="F26" s="35">
        <f>F10*Assumptions!F27</f>
        <v/>
      </c>
      <c r="G26" s="35">
        <f>G10*Assumptions!G27</f>
        <v/>
      </c>
      <c r="H26" s="35">
        <f>H10*Assumptions!H27</f>
        <v/>
      </c>
      <c r="I26" s="35">
        <f>I10*Assumptions!I27</f>
        <v/>
      </c>
      <c r="J26" s="35">
        <f>J10*Assumptions!J27</f>
        <v/>
      </c>
      <c r="K26" s="35">
        <f>K10*Assumptions!K27</f>
        <v/>
      </c>
      <c r="L26" s="35">
        <f>L10*Assumptions!L27</f>
        <v/>
      </c>
      <c r="M26" s="35">
        <f>M10*Assumptions!M27</f>
        <v/>
      </c>
      <c r="N26" s="35">
        <f>N10*Assumptions!N27</f>
        <v/>
      </c>
    </row>
    <row r="27">
      <c r="B27" s="51" t="inlineStr">
        <is>
          <t xml:space="preserve">  Less: core capex</t>
        </is>
      </c>
      <c r="E27" s="35">
        <f>-E10*Assumptions!E28</f>
        <v/>
      </c>
      <c r="F27" s="35">
        <f>-F10*Assumptions!F28</f>
        <v/>
      </c>
      <c r="G27" s="35">
        <f>-G10*Assumptions!G28</f>
        <v/>
      </c>
      <c r="H27" s="35">
        <f>-H10*Assumptions!H28</f>
        <v/>
      </c>
      <c r="I27" s="35">
        <f>-I10*Assumptions!I28</f>
        <v/>
      </c>
      <c r="J27" s="35">
        <f>-J10*Assumptions!J28</f>
        <v/>
      </c>
      <c r="K27" s="35">
        <f>-K10*Assumptions!K28</f>
        <v/>
      </c>
      <c r="L27" s="35">
        <f>-L10*Assumptions!L28</f>
        <v/>
      </c>
      <c r="M27" s="35">
        <f>-M10*Assumptions!M28</f>
        <v/>
      </c>
      <c r="N27" s="35">
        <f>-N10*Assumptions!N28</f>
        <v/>
      </c>
    </row>
    <row r="28">
      <c r="B28" s="51" t="inlineStr">
        <is>
          <t xml:space="preserve">  Less: quantum / Anderon capex</t>
        </is>
      </c>
      <c r="E28" s="35">
        <f>-Assumptions!E29</f>
        <v/>
      </c>
      <c r="F28" s="35">
        <f>-Assumptions!F29</f>
        <v/>
      </c>
      <c r="G28" s="35">
        <f>-Assumptions!G29</f>
        <v/>
      </c>
      <c r="H28" s="35">
        <f>-Assumptions!H29</f>
        <v/>
      </c>
      <c r="I28" s="35">
        <f>-Assumptions!I29</f>
        <v/>
      </c>
      <c r="J28" s="35">
        <f>-Assumptions!J29</f>
        <v/>
      </c>
      <c r="K28" s="35">
        <f>-Assumptions!K29</f>
        <v/>
      </c>
      <c r="L28" s="35">
        <f>-Assumptions!L29</f>
        <v/>
      </c>
      <c r="M28" s="35">
        <f>-Assumptions!M29</f>
        <v/>
      </c>
      <c r="N28" s="35">
        <f>-Assumptions!N29</f>
        <v/>
      </c>
    </row>
    <row r="29">
      <c r="B29" s="51" t="inlineStr">
        <is>
          <t xml:space="preserve">  Less: Δ working capital</t>
        </is>
      </c>
      <c r="E29" s="35">
        <f>-(E10-D10)*Assumptions!E30</f>
        <v/>
      </c>
      <c r="F29" s="35">
        <f>-(F10-E10)*Assumptions!F30</f>
        <v/>
      </c>
      <c r="G29" s="35">
        <f>-(G10-F10)*Assumptions!G30</f>
        <v/>
      </c>
      <c r="H29" s="35">
        <f>-(H10-G10)*Assumptions!H30</f>
        <v/>
      </c>
      <c r="I29" s="35">
        <f>-(I10-H10)*Assumptions!I30</f>
        <v/>
      </c>
      <c r="J29" s="35">
        <f>-(J10-I10)*Assumptions!J30</f>
        <v/>
      </c>
      <c r="K29" s="35">
        <f>-(K10-J10)*Assumptions!K30</f>
        <v/>
      </c>
      <c r="L29" s="35">
        <f>-(L10-K10)*Assumptions!L30</f>
        <v/>
      </c>
      <c r="M29" s="35">
        <f>-(M10-L10)*Assumptions!M30</f>
        <v/>
      </c>
      <c r="N29" s="35">
        <f>-(N10-M10)*Assumptions!N30</f>
        <v/>
      </c>
    </row>
    <row r="30">
      <c r="B30" s="36" t="inlineStr">
        <is>
          <t>Unlevered Free Cash Flow</t>
        </is>
      </c>
      <c r="E30" s="54">
        <f>SUM(E25:E29)</f>
        <v/>
      </c>
      <c r="F30" s="54">
        <f>SUM(F25:F29)</f>
        <v/>
      </c>
      <c r="G30" s="54">
        <f>SUM(G25:G29)</f>
        <v/>
      </c>
      <c r="H30" s="54">
        <f>SUM(H25:H29)</f>
        <v/>
      </c>
      <c r="I30" s="54">
        <f>SUM(I25:I29)</f>
        <v/>
      </c>
      <c r="J30" s="54">
        <f>SUM(J25:J29)</f>
        <v/>
      </c>
      <c r="K30" s="54">
        <f>SUM(K25:K29)</f>
        <v/>
      </c>
      <c r="L30" s="54">
        <f>SUM(L25:L29)</f>
        <v/>
      </c>
      <c r="M30" s="54">
        <f>SUM(M25:M29)</f>
        <v/>
      </c>
      <c r="N30" s="54">
        <f>SUM(N25:N29)</f>
        <v/>
      </c>
    </row>
    <row r="32">
      <c r="B32" s="51" t="inlineStr">
        <is>
          <t>Memo: quantum standalone FCF  [profit × (1 − t) − quantum capex]</t>
        </is>
      </c>
      <c r="E32" s="35">
        <f>E17*(1-Assumptions!E31)+E28</f>
        <v/>
      </c>
      <c r="F32" s="35">
        <f>F17*(1-Assumptions!F31)+F28</f>
        <v/>
      </c>
      <c r="G32" s="35">
        <f>G17*(1-Assumptions!G31)+G28</f>
        <v/>
      </c>
      <c r="H32" s="35">
        <f>H17*(1-Assumptions!H31)+H28</f>
        <v/>
      </c>
      <c r="I32" s="35">
        <f>I17*(1-Assumptions!I31)+I28</f>
        <v/>
      </c>
      <c r="J32" s="35">
        <f>J17*(1-Assumptions!J31)+J28</f>
        <v/>
      </c>
      <c r="K32" s="35">
        <f>K17*(1-Assumptions!K31)+K28</f>
        <v/>
      </c>
      <c r="L32" s="35">
        <f>L17*(1-Assumptions!L31)+L28</f>
        <v/>
      </c>
      <c r="M32" s="35">
        <f>M17*(1-Assumptions!M31)+M28</f>
        <v/>
      </c>
      <c r="N32" s="35">
        <f>N17*(1-Assumptions!N31)+N28</f>
        <v/>
      </c>
    </row>
    <row r="34">
      <c r="B34" s="55" t="inlineStr">
        <is>
          <t>FY2025A check: modeled EBIT = GAAP pre-tax + interest (corporate line is the residual)</t>
        </is>
      </c>
    </row>
    <row r="35" ht="4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B36" s="25" t="inlineStr">
        <is>
          <t>Francisco Rodriguez  |  Financial Modeling Portfolio  |  github.com/Azyo1</t>
        </is>
      </c>
    </row>
  </sheetData>
  <mergeCells count="4">
    <mergeCell ref="B22:N22"/>
    <mergeCell ref="B2:N2"/>
    <mergeCell ref="B4:N4"/>
    <mergeCell ref="B12:N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.5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0" customHeight="1">
      <c r="B2" s="26" t="inlineStr">
        <is>
          <t>IBM — Discounted Cash Flow Analysis ($M)</t>
        </is>
      </c>
    </row>
    <row r="3">
      <c r="B3" s="27" t="inlineStr"/>
      <c r="C3" s="28" t="inlineStr">
        <is>
          <t>Value</t>
        </is>
      </c>
      <c r="D3" s="29" t="inlineStr">
        <is>
          <t>FY2026E</t>
        </is>
      </c>
      <c r="E3" s="29" t="inlineStr">
        <is>
          <t>FY2027E</t>
        </is>
      </c>
      <c r="F3" s="29" t="inlineStr">
        <is>
          <t>FY2028E</t>
        </is>
      </c>
      <c r="G3" s="29" t="inlineStr">
        <is>
          <t>FY2029E</t>
        </is>
      </c>
      <c r="H3" s="29" t="inlineStr">
        <is>
          <t>FY2030E</t>
        </is>
      </c>
      <c r="I3" s="29" t="inlineStr">
        <is>
          <t>FY2031E</t>
        </is>
      </c>
      <c r="J3" s="29" t="inlineStr">
        <is>
          <t>FY2032E</t>
        </is>
      </c>
      <c r="K3" s="29" t="inlineStr">
        <is>
          <t>FY2033E</t>
        </is>
      </c>
      <c r="L3" s="29" t="inlineStr">
        <is>
          <t>FY2034E</t>
        </is>
      </c>
      <c r="M3" s="29" t="inlineStr">
        <is>
          <t>FY2035E</t>
        </is>
      </c>
    </row>
    <row r="4">
      <c r="B4" s="21" t="inlineStr">
        <is>
          <t>WACC BUILD</t>
        </is>
      </c>
    </row>
    <row r="5">
      <c r="B5" s="51" t="inlineStr">
        <is>
          <t>Risk-free rate</t>
        </is>
      </c>
      <c r="C5" s="56">
        <f>Assumptions!$C$59</f>
        <v/>
      </c>
    </row>
    <row r="6">
      <c r="B6" s="51" t="inlineStr">
        <is>
          <t>Equity risk premium</t>
        </is>
      </c>
      <c r="C6" s="56">
        <f>Assumptions!$C$60</f>
        <v/>
      </c>
    </row>
    <row r="7">
      <c r="B7" s="51" t="inlineStr">
        <is>
          <t>Levered beta</t>
        </is>
      </c>
      <c r="C7" s="57">
        <f>Assumptions!$C$61</f>
        <v/>
      </c>
    </row>
    <row r="8">
      <c r="B8" s="36" t="inlineStr">
        <is>
          <t>Cost of equity</t>
        </is>
      </c>
      <c r="C8" s="46">
        <f>C5+C7*C6</f>
        <v/>
      </c>
    </row>
    <row r="9">
      <c r="B9" s="51" t="inlineStr">
        <is>
          <t>Pre-tax cost of debt</t>
        </is>
      </c>
      <c r="C9" s="56">
        <f>Assumptions!$C$62</f>
        <v/>
      </c>
    </row>
    <row r="10">
      <c r="B10" s="51" t="inlineStr">
        <is>
          <t>Tax rate</t>
        </is>
      </c>
      <c r="C10" s="56">
        <f>Assumptions!$C$63</f>
        <v/>
      </c>
    </row>
    <row r="11">
      <c r="B11" s="51" t="inlineStr">
        <is>
          <t>After-tax cost of debt</t>
        </is>
      </c>
      <c r="C11" s="46">
        <f>C9*(1-C10)</f>
        <v/>
      </c>
    </row>
    <row r="12">
      <c r="B12" s="51" t="inlineStr">
        <is>
          <t>Core debt / total capital</t>
        </is>
      </c>
      <c r="C12" s="56">
        <f>Assumptions!$C$64</f>
        <v/>
      </c>
    </row>
    <row r="13">
      <c r="B13" s="51" t="inlineStr">
        <is>
          <t>Equity / total capital</t>
        </is>
      </c>
      <c r="C13" s="46">
        <f>1-C12</f>
        <v/>
      </c>
    </row>
    <row r="14">
      <c r="B14" s="36" t="inlineStr">
        <is>
          <t>WACC</t>
        </is>
      </c>
      <c r="C14" s="46">
        <f>C8*C13+C11*C12</f>
        <v/>
      </c>
    </row>
    <row r="15">
      <c r="B15" s="21" t="inlineStr">
        <is>
          <t>FREE CASH FLOW PROJECTION  (stub + mid-year)</t>
        </is>
      </c>
    </row>
    <row r="16">
      <c r="B16" s="36" t="inlineStr">
        <is>
          <t>Unlevered free cash flow</t>
        </is>
      </c>
      <c r="D16" s="52">
        <f>'Operating Model'!E30</f>
        <v/>
      </c>
      <c r="E16" s="52">
        <f>'Operating Model'!F30</f>
        <v/>
      </c>
      <c r="F16" s="52">
        <f>'Operating Model'!G30</f>
        <v/>
      </c>
      <c r="G16" s="52">
        <f>'Operating Model'!H30</f>
        <v/>
      </c>
      <c r="H16" s="52">
        <f>'Operating Model'!I30</f>
        <v/>
      </c>
      <c r="I16" s="52">
        <f>'Operating Model'!J30</f>
        <v/>
      </c>
      <c r="J16" s="52">
        <f>'Operating Model'!K30</f>
        <v/>
      </c>
      <c r="K16" s="52">
        <f>'Operating Model'!L30</f>
        <v/>
      </c>
      <c r="L16" s="52">
        <f>'Operating Model'!M30</f>
        <v/>
      </c>
      <c r="M16" s="52">
        <f>'Operating Model'!N30</f>
        <v/>
      </c>
    </row>
    <row r="17">
      <c r="B17" s="51" t="inlineStr">
        <is>
          <t>Fraction of year valued</t>
        </is>
      </c>
      <c r="D17" s="41">
        <f>Assumptions!$C$46</f>
        <v/>
      </c>
      <c r="E17" s="41">
        <f>1</f>
        <v/>
      </c>
      <c r="F17" s="41">
        <f>1</f>
        <v/>
      </c>
      <c r="G17" s="41">
        <f>1</f>
        <v/>
      </c>
      <c r="H17" s="41">
        <f>1</f>
        <v/>
      </c>
      <c r="I17" s="41">
        <f>1</f>
        <v/>
      </c>
      <c r="J17" s="41">
        <f>1</f>
        <v/>
      </c>
      <c r="K17" s="41">
        <f>1</f>
        <v/>
      </c>
      <c r="L17" s="41">
        <f>1</f>
        <v/>
      </c>
      <c r="M17" s="41">
        <f>1</f>
        <v/>
      </c>
    </row>
    <row r="18">
      <c r="B18" s="51" t="inlineStr">
        <is>
          <t>Discount period (years)</t>
        </is>
      </c>
      <c r="D18" s="41">
        <f>D17/2</f>
        <v/>
      </c>
      <c r="E18" s="41">
        <f>SUM($D$17:D17)+E17/2</f>
        <v/>
      </c>
      <c r="F18" s="41">
        <f>SUM($D$17:E17)+F17/2</f>
        <v/>
      </c>
      <c r="G18" s="41">
        <f>SUM($D$17:F17)+G17/2</f>
        <v/>
      </c>
      <c r="H18" s="41">
        <f>SUM($D$17:G17)+H17/2</f>
        <v/>
      </c>
      <c r="I18" s="41">
        <f>SUM($D$17:H17)+I17/2</f>
        <v/>
      </c>
      <c r="J18" s="41">
        <f>SUM($D$17:I17)+J17/2</f>
        <v/>
      </c>
      <c r="K18" s="41">
        <f>SUM($D$17:J17)+K17/2</f>
        <v/>
      </c>
      <c r="L18" s="41">
        <f>SUM($D$17:K17)+L17/2</f>
        <v/>
      </c>
      <c r="M18" s="41">
        <f>SUM($D$17:L17)+M17/2</f>
        <v/>
      </c>
    </row>
    <row r="19">
      <c r="B19" s="51" t="inlineStr">
        <is>
          <t>Discount factor</t>
        </is>
      </c>
      <c r="D19" s="58">
        <f>1/(1+$C$14)^D18</f>
        <v/>
      </c>
      <c r="E19" s="58">
        <f>1/(1+$C$14)^E18</f>
        <v/>
      </c>
      <c r="F19" s="58">
        <f>1/(1+$C$14)^F18</f>
        <v/>
      </c>
      <c r="G19" s="58">
        <f>1/(1+$C$14)^G18</f>
        <v/>
      </c>
      <c r="H19" s="58">
        <f>1/(1+$C$14)^H18</f>
        <v/>
      </c>
      <c r="I19" s="58">
        <f>1/(1+$C$14)^I18</f>
        <v/>
      </c>
      <c r="J19" s="58">
        <f>1/(1+$C$14)^J18</f>
        <v/>
      </c>
      <c r="K19" s="58">
        <f>1/(1+$C$14)^K18</f>
        <v/>
      </c>
      <c r="L19" s="58">
        <f>1/(1+$C$14)^L18</f>
        <v/>
      </c>
      <c r="M19" s="58">
        <f>1/(1+$C$14)^M18</f>
        <v/>
      </c>
    </row>
    <row r="20">
      <c r="B20" s="36" t="inlineStr">
        <is>
          <t>PV of FCF</t>
        </is>
      </c>
      <c r="D20" s="37">
        <f>D16*D17*D19</f>
        <v/>
      </c>
      <c r="E20" s="37">
        <f>E16*E17*E19</f>
        <v/>
      </c>
      <c r="F20" s="37">
        <f>F16*F17*F19</f>
        <v/>
      </c>
      <c r="G20" s="37">
        <f>G16*G17*G19</f>
        <v/>
      </c>
      <c r="H20" s="37">
        <f>H16*H17*H19</f>
        <v/>
      </c>
      <c r="I20" s="37">
        <f>I16*I17*I19</f>
        <v/>
      </c>
      <c r="J20" s="37">
        <f>J16*J17*J19</f>
        <v/>
      </c>
      <c r="K20" s="37">
        <f>K16*K17*K19</f>
        <v/>
      </c>
      <c r="L20" s="37">
        <f>L16*L17*L19</f>
        <v/>
      </c>
      <c r="M20" s="37">
        <f>M16*M17*M19</f>
        <v/>
      </c>
    </row>
    <row r="21">
      <c r="B21" s="51" t="inlineStr">
        <is>
          <t>Quantum standalone FCF (memo)</t>
        </is>
      </c>
      <c r="D21" s="52">
        <f>'Operating Model'!E32</f>
        <v/>
      </c>
      <c r="E21" s="52">
        <f>'Operating Model'!F32</f>
        <v/>
      </c>
      <c r="F21" s="52">
        <f>'Operating Model'!G32</f>
        <v/>
      </c>
      <c r="G21" s="52">
        <f>'Operating Model'!H32</f>
        <v/>
      </c>
      <c r="H21" s="52">
        <f>'Operating Model'!I32</f>
        <v/>
      </c>
      <c r="I21" s="52">
        <f>'Operating Model'!J32</f>
        <v/>
      </c>
      <c r="J21" s="52">
        <f>'Operating Model'!K32</f>
        <v/>
      </c>
      <c r="K21" s="52">
        <f>'Operating Model'!L32</f>
        <v/>
      </c>
      <c r="L21" s="52">
        <f>'Operating Model'!M32</f>
        <v/>
      </c>
      <c r="M21" s="52">
        <f>'Operating Model'!N32</f>
        <v/>
      </c>
    </row>
    <row r="22">
      <c r="B22" s="51" t="inlineStr">
        <is>
          <t>PV of quantum FCF</t>
        </is>
      </c>
      <c r="D22" s="35">
        <f>D21*D17*D19</f>
        <v/>
      </c>
      <c r="E22" s="35">
        <f>E21*E17*E19</f>
        <v/>
      </c>
      <c r="F22" s="35">
        <f>F21*F17*F19</f>
        <v/>
      </c>
      <c r="G22" s="35">
        <f>G21*G17*G19</f>
        <v/>
      </c>
      <c r="H22" s="35">
        <f>H21*H17*H19</f>
        <v/>
      </c>
      <c r="I22" s="35">
        <f>I21*I17*I19</f>
        <v/>
      </c>
      <c r="J22" s="35">
        <f>J21*J17*J19</f>
        <v/>
      </c>
      <c r="K22" s="35">
        <f>K21*K17*K19</f>
        <v/>
      </c>
      <c r="L22" s="35">
        <f>L21*L17*L19</f>
        <v/>
      </c>
      <c r="M22" s="35">
        <f>M21*M17*M19</f>
        <v/>
      </c>
    </row>
    <row r="23">
      <c r="B23" s="21" t="inlineStr">
        <is>
          <t>TERMINAL VALUE &amp; EQUITY BRIDGE</t>
        </is>
      </c>
    </row>
    <row r="24">
      <c r="B24" s="36" t="inlineStr">
        <is>
          <t>Sum of PV (FCFs)</t>
        </is>
      </c>
      <c r="C24" s="54">
        <f>SUM(D20:M20)</f>
        <v/>
      </c>
    </row>
    <row r="25">
      <c r="B25" s="51" t="inlineStr">
        <is>
          <t>Terminal growth (g)</t>
        </is>
      </c>
      <c r="C25" s="56">
        <f>Assumptions!$C$65</f>
        <v/>
      </c>
    </row>
    <row r="26">
      <c r="B26" s="51" t="inlineStr">
        <is>
          <t>Terminal value  [FCF × (1+g) / (WACC − g)]</t>
        </is>
      </c>
      <c r="C26" s="35">
        <f>M16*(1+C25)/(C14-C25)</f>
        <v/>
      </c>
    </row>
    <row r="27">
      <c r="B27" s="51" t="inlineStr">
        <is>
          <t>PV of terminal value</t>
        </is>
      </c>
      <c r="C27" s="35">
        <f>C26*M19</f>
        <v/>
      </c>
    </row>
    <row r="28">
      <c r="B28" s="59" t="inlineStr">
        <is>
          <t>Enterprise value</t>
        </is>
      </c>
      <c r="C28" s="60">
        <f>C24+C27</f>
        <v/>
      </c>
    </row>
    <row r="29">
      <c r="B29" s="51" t="inlineStr">
        <is>
          <t xml:space="preserve">  TV as % of EV</t>
        </is>
      </c>
      <c r="C29" s="32">
        <f>C27/C28</f>
        <v/>
      </c>
    </row>
    <row r="30">
      <c r="B30" s="51" t="inlineStr">
        <is>
          <t xml:space="preserve">  EV / FY2027E EBITDA (implied)</t>
        </is>
      </c>
      <c r="C30" s="61">
        <f>C28/('Operating Model'!F20+'Operating Model'!F26)</f>
        <v/>
      </c>
    </row>
    <row r="31">
      <c r="B31" s="51" t="inlineStr">
        <is>
          <t>Plus: cash &amp; marketable securities</t>
        </is>
      </c>
      <c r="C31" s="52">
        <f>Assumptions!$C$50</f>
        <v/>
      </c>
    </row>
    <row r="32">
      <c r="B32" s="51" t="inlineStr">
        <is>
          <t>Less: core debt (ex-Financing)</t>
        </is>
      </c>
      <c r="C32" s="52">
        <f>Assumptions!$C$53</f>
        <v/>
      </c>
    </row>
    <row r="33">
      <c r="B33" s="36" t="inlineStr">
        <is>
          <t>Equity value</t>
        </is>
      </c>
      <c r="C33" s="54">
        <f>C28+C31-C32</f>
        <v/>
      </c>
    </row>
    <row r="34">
      <c r="B34" s="51" t="inlineStr">
        <is>
          <t>Diluted shares (M)</t>
        </is>
      </c>
      <c r="C34" s="62">
        <f>Assumptions!$C$54</f>
        <v/>
      </c>
    </row>
    <row r="35">
      <c r="B35" s="59" t="inlineStr">
        <is>
          <t>DCF value per share (Base)</t>
        </is>
      </c>
      <c r="C35" s="63">
        <f>C33/C34</f>
        <v/>
      </c>
    </row>
    <row r="36">
      <c r="B36" s="51" t="inlineStr">
        <is>
          <t>Current share price</t>
        </is>
      </c>
      <c r="C36" s="64">
        <f>Assumptions!$C$47</f>
        <v/>
      </c>
    </row>
    <row r="37">
      <c r="B37" s="36" t="inlineStr">
        <is>
          <t>DCF upside / (downside)</t>
        </is>
      </c>
      <c r="C37" s="65">
        <f>C35/C36-1</f>
        <v/>
      </c>
    </row>
    <row r="38">
      <c r="B38" s="51" t="inlineStr">
        <is>
          <t>Quantum value per share  [PV quantum FCF + quantum TV]</t>
        </is>
      </c>
      <c r="C38" s="66">
        <f>(SUM(D22:M22)+M21*(1+C25)/(C14-C25)*M19)/C34</f>
        <v/>
      </c>
    </row>
    <row r="39">
      <c r="B39" s="51" t="inlineStr">
        <is>
          <t>Core IBM value per share (ex-quantum)</t>
        </is>
      </c>
      <c r="C39" s="66">
        <f>C35-C38</f>
        <v/>
      </c>
    </row>
    <row r="40">
      <c r="B40" s="51" t="inlineStr">
        <is>
          <t>Probability-weighted value (quantum scenarios)</t>
        </is>
      </c>
      <c r="C40" s="64">
        <f>Sensitivity!$C$40</f>
        <v/>
      </c>
    </row>
    <row r="41">
      <c r="B41" s="59" t="inlineStr">
        <is>
          <t>★ PRICE TARGET</t>
        </is>
      </c>
      <c r="C41" s="67">
        <f>ROUND(C40/Assumptions!$C$68,0)*Assumptions!$C$68</f>
        <v/>
      </c>
    </row>
    <row r="42">
      <c r="B42" s="59" t="inlineStr">
        <is>
          <t>PT upside / (downside)</t>
        </is>
      </c>
      <c r="C42" s="68">
        <f>C41/C36-1</f>
        <v/>
      </c>
    </row>
    <row r="43">
      <c r="B43" s="51" t="inlineStr">
        <is>
          <t>Total return incl. dividend yield</t>
        </is>
      </c>
      <c r="C43" s="32">
        <f>C42+Assumptions!$C$55/C36</f>
        <v/>
      </c>
    </row>
    <row r="44">
      <c r="B44" s="59" t="inlineStr">
        <is>
          <t>★ RATING</t>
        </is>
      </c>
      <c r="C44" s="69">
        <f>IF(C42&gt;=Assumptions!$C$66,"OVERWEIGHT",IF(C42&lt;=Assumptions!$C$67,"UNDERWEIGHT","EQUAL-WEIGHT"))</f>
        <v/>
      </c>
    </row>
    <row r="46" ht="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B47" s="25" t="inlineStr">
        <is>
          <t>Francisco Rodriguez  |  Financial Modeling Portfolio  |  github.com/Azyo1</t>
        </is>
      </c>
    </row>
  </sheetData>
  <mergeCells count="4">
    <mergeCell ref="B4:M4"/>
    <mergeCell ref="B2:M2"/>
    <mergeCell ref="B15:M15"/>
    <mergeCell ref="B23:M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1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B2" s="26" t="inlineStr">
        <is>
          <t>IBM — Sensitivity &amp; Scenario Analysis  (live formulas)</t>
        </is>
      </c>
    </row>
    <row r="3">
      <c r="B3" s="21" t="inlineStr">
        <is>
          <t>TABLE 1 — Base DCF value per share: WACC × terminal growth</t>
        </is>
      </c>
    </row>
    <row r="4">
      <c r="B4" s="70" t="inlineStr">
        <is>
          <t>g ↓  |  WACC →</t>
        </is>
      </c>
      <c r="C4" s="71">
        <f>DCF!$C$14+(-3)*Assumptions!$C$69</f>
        <v/>
      </c>
      <c r="D4" s="71">
        <f>DCF!$C$14+(-2)*Assumptions!$C$69</f>
        <v/>
      </c>
      <c r="E4" s="71">
        <f>DCF!$C$14+(-1)*Assumptions!$C$69</f>
        <v/>
      </c>
      <c r="F4" s="71">
        <f>DCF!$C$14+(0)*Assumptions!$C$69</f>
        <v/>
      </c>
      <c r="G4" s="71">
        <f>DCF!$C$14+(1)*Assumptions!$C$69</f>
        <v/>
      </c>
      <c r="H4" s="71">
        <f>DCF!$C$14+(2)*Assumptions!$C$69</f>
        <v/>
      </c>
      <c r="I4" s="71">
        <f>DCF!$C$14+(3)*Assumptions!$C$69</f>
        <v/>
      </c>
    </row>
    <row r="5">
      <c r="B5" s="71">
        <f>Assumptions!$C$65+(-2)*Assumptions!$C$70</f>
        <v/>
      </c>
      <c r="C5" s="72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5)/(C$4-$B5)/(1+C$4)^DCF!$M$18+DCF!$C$31-DCF!$C$32)/DCF!$C$34</f>
        <v/>
      </c>
      <c r="D5" s="72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5)/(D$4-$B5)/(1+D$4)^DCF!$M$18+DCF!$C$31-DCF!$C$32)/DCF!$C$34</f>
        <v/>
      </c>
      <c r="E5" s="72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5)/(E$4-$B5)/(1+E$4)^DCF!$M$18+DCF!$C$31-DCF!$C$32)/DCF!$C$34</f>
        <v/>
      </c>
      <c r="F5" s="72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5)/(F$4-$B5)/(1+F$4)^DCF!$M$18+DCF!$C$31-DCF!$C$32)/DCF!$C$34</f>
        <v/>
      </c>
      <c r="G5" s="72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5)/(G$4-$B5)/(1+G$4)^DCF!$M$18+DCF!$C$31-DCF!$C$32)/DCF!$C$34</f>
        <v/>
      </c>
      <c r="H5" s="72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5)/(H$4-$B5)/(1+H$4)^DCF!$M$18+DCF!$C$31-DCF!$C$32)/DCF!$C$34</f>
        <v/>
      </c>
      <c r="I5" s="72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5)/(I$4-$B5)/(1+I$4)^DCF!$M$18+DCF!$C$31-DCF!$C$32)/DCF!$C$34</f>
        <v/>
      </c>
    </row>
    <row r="6">
      <c r="B6" s="71">
        <f>Assumptions!$C$65+(-1)*Assumptions!$C$70</f>
        <v/>
      </c>
      <c r="C6" s="72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6)/(C$4-$B6)/(1+C$4)^DCF!$M$18+DCF!$C$31-DCF!$C$32)/DCF!$C$34</f>
        <v/>
      </c>
      <c r="D6" s="72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6)/(D$4-$B6)/(1+D$4)^DCF!$M$18+DCF!$C$31-DCF!$C$32)/DCF!$C$34</f>
        <v/>
      </c>
      <c r="E6" s="72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6)/(E$4-$B6)/(1+E$4)^DCF!$M$18+DCF!$C$31-DCF!$C$32)/DCF!$C$34</f>
        <v/>
      </c>
      <c r="F6" s="72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6)/(F$4-$B6)/(1+F$4)^DCF!$M$18+DCF!$C$31-DCF!$C$32)/DCF!$C$34</f>
        <v/>
      </c>
      <c r="G6" s="72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6)/(G$4-$B6)/(1+G$4)^DCF!$M$18+DCF!$C$31-DCF!$C$32)/DCF!$C$34</f>
        <v/>
      </c>
      <c r="H6" s="72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6)/(H$4-$B6)/(1+H$4)^DCF!$M$18+DCF!$C$31-DCF!$C$32)/DCF!$C$34</f>
        <v/>
      </c>
      <c r="I6" s="72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6)/(I$4-$B6)/(1+I$4)^DCF!$M$18+DCF!$C$31-DCF!$C$32)/DCF!$C$34</f>
        <v/>
      </c>
    </row>
    <row r="7">
      <c r="B7" s="71">
        <f>Assumptions!$C$65+(0)*Assumptions!$C$70</f>
        <v/>
      </c>
      <c r="C7" s="72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7)/(C$4-$B7)/(1+C$4)^DCF!$M$18+DCF!$C$31-DCF!$C$32)/DCF!$C$34</f>
        <v/>
      </c>
      <c r="D7" s="72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7)/(D$4-$B7)/(1+D$4)^DCF!$M$18+DCF!$C$31-DCF!$C$32)/DCF!$C$34</f>
        <v/>
      </c>
      <c r="E7" s="72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7)/(E$4-$B7)/(1+E$4)^DCF!$M$18+DCF!$C$31-DCF!$C$32)/DCF!$C$34</f>
        <v/>
      </c>
      <c r="F7" s="73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7)/(F$4-$B7)/(1+F$4)^DCF!$M$18+DCF!$C$31-DCF!$C$32)/DCF!$C$34</f>
        <v/>
      </c>
      <c r="G7" s="72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7)/(G$4-$B7)/(1+G$4)^DCF!$M$18+DCF!$C$31-DCF!$C$32)/DCF!$C$34</f>
        <v/>
      </c>
      <c r="H7" s="72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7)/(H$4-$B7)/(1+H$4)^DCF!$M$18+DCF!$C$31-DCF!$C$32)/DCF!$C$34</f>
        <v/>
      </c>
      <c r="I7" s="72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7)/(I$4-$B7)/(1+I$4)^DCF!$M$18+DCF!$C$31-DCF!$C$32)/DCF!$C$34</f>
        <v/>
      </c>
    </row>
    <row r="8">
      <c r="B8" s="71">
        <f>Assumptions!$C$65+(1)*Assumptions!$C$70</f>
        <v/>
      </c>
      <c r="C8" s="72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8)/(C$4-$B8)/(1+C$4)^DCF!$M$18+DCF!$C$31-DCF!$C$32)/DCF!$C$34</f>
        <v/>
      </c>
      <c r="D8" s="72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8)/(D$4-$B8)/(1+D$4)^DCF!$M$18+DCF!$C$31-DCF!$C$32)/DCF!$C$34</f>
        <v/>
      </c>
      <c r="E8" s="72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8)/(E$4-$B8)/(1+E$4)^DCF!$M$18+DCF!$C$31-DCF!$C$32)/DCF!$C$34</f>
        <v/>
      </c>
      <c r="F8" s="72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8)/(F$4-$B8)/(1+F$4)^DCF!$M$18+DCF!$C$31-DCF!$C$32)/DCF!$C$34</f>
        <v/>
      </c>
      <c r="G8" s="72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8)/(G$4-$B8)/(1+G$4)^DCF!$M$18+DCF!$C$31-DCF!$C$32)/DCF!$C$34</f>
        <v/>
      </c>
      <c r="H8" s="72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8)/(H$4-$B8)/(1+H$4)^DCF!$M$18+DCF!$C$31-DCF!$C$32)/DCF!$C$34</f>
        <v/>
      </c>
      <c r="I8" s="72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8)/(I$4-$B8)/(1+I$4)^DCF!$M$18+DCF!$C$31-DCF!$C$32)/DCF!$C$34</f>
        <v/>
      </c>
    </row>
    <row r="9">
      <c r="B9" s="71">
        <f>Assumptions!$C$65+(2)*Assumptions!$C$70</f>
        <v/>
      </c>
      <c r="C9" s="72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9)/(C$4-$B9)/(1+C$4)^DCF!$M$18+DCF!$C$31-DCF!$C$32)/DCF!$C$34</f>
        <v/>
      </c>
      <c r="D9" s="72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9)/(D$4-$B9)/(1+D$4)^DCF!$M$18+DCF!$C$31-DCF!$C$32)/DCF!$C$34</f>
        <v/>
      </c>
      <c r="E9" s="72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9)/(E$4-$B9)/(1+E$4)^DCF!$M$18+DCF!$C$31-DCF!$C$32)/DCF!$C$34</f>
        <v/>
      </c>
      <c r="F9" s="72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9)/(F$4-$B9)/(1+F$4)^DCF!$M$18+DCF!$C$31-DCF!$C$32)/DCF!$C$34</f>
        <v/>
      </c>
      <c r="G9" s="72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9)/(G$4-$B9)/(1+G$4)^DCF!$M$18+DCF!$C$31-DCF!$C$32)/DCF!$C$34</f>
        <v/>
      </c>
      <c r="H9" s="72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9)/(H$4-$B9)/(1+H$4)^DCF!$M$18+DCF!$C$31-DCF!$C$32)/DCF!$C$34</f>
        <v/>
      </c>
      <c r="I9" s="72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9)/(I$4-$B9)/(1+I$4)^DCF!$M$18+DCF!$C$31-DCF!$C$32)/DCF!$C$34</f>
        <v/>
      </c>
    </row>
    <row r="10">
      <c r="B10" s="55" t="inlineStr">
        <is>
          <t>Centre = base case (DCF!C35).</t>
        </is>
      </c>
    </row>
    <row r="12">
      <c r="B12" s="21" t="inlineStr">
        <is>
          <t>TABLE 2 — Core business Bear / Base / Bull  (quantum at base path)</t>
        </is>
      </c>
    </row>
    <row r="13">
      <c r="B13" s="27" t="inlineStr">
        <is>
          <t>Metric</t>
        </is>
      </c>
      <c r="C13" s="74" t="inlineStr">
        <is>
          <t>Bear</t>
        </is>
      </c>
      <c r="E13" s="29" t="inlineStr">
        <is>
          <t>Base</t>
        </is>
      </c>
      <c r="G13" s="75" t="inlineStr">
        <is>
          <t>Bull</t>
        </is>
      </c>
    </row>
    <row r="14">
      <c r="B14" s="51" t="inlineStr">
        <is>
          <t>Revenue CAGR FY2025A–FY2030E</t>
        </is>
      </c>
      <c r="C14" s="76">
        <f>(H53/C53)^(1/5)-1</f>
        <v/>
      </c>
      <c r="E14" s="76">
        <f>(H69/C69)^(1/5)-1</f>
        <v/>
      </c>
      <c r="G14" s="76">
        <f>(H85/C85)^(1/5)-1</f>
        <v/>
      </c>
    </row>
    <row r="15">
      <c r="B15" s="51" t="inlineStr">
        <is>
          <t>FY2030E EBIT margin</t>
        </is>
      </c>
      <c r="C15" s="76">
        <f>H55/H53</f>
        <v/>
      </c>
      <c r="E15" s="76">
        <f>H71/H69</f>
        <v/>
      </c>
      <c r="G15" s="76">
        <f>H87/H85</f>
        <v/>
      </c>
    </row>
    <row r="16">
      <c r="B16" s="51" t="inlineStr">
        <is>
          <t>WACC</t>
        </is>
      </c>
      <c r="C16" s="77">
        <f>$N$61</f>
        <v/>
      </c>
      <c r="E16" s="77">
        <f>$N$77</f>
        <v/>
      </c>
      <c r="G16" s="77">
        <f>$N$93</f>
        <v/>
      </c>
    </row>
    <row r="17">
      <c r="B17" s="51" t="inlineStr">
        <is>
          <t>Terminal growth</t>
        </is>
      </c>
      <c r="C17" s="77">
        <f>$N$62</f>
        <v/>
      </c>
      <c r="E17" s="77">
        <f>$N$78</f>
        <v/>
      </c>
      <c r="G17" s="77">
        <f>$N$94</f>
        <v/>
      </c>
    </row>
    <row r="18">
      <c r="B18" s="36" t="inlineStr">
        <is>
          <t>Value per share</t>
        </is>
      </c>
      <c r="C18" s="78">
        <f>C63</f>
        <v/>
      </c>
      <c r="E18" s="78">
        <f>C79</f>
        <v/>
      </c>
      <c r="G18" s="78">
        <f>C95</f>
        <v/>
      </c>
    </row>
    <row r="19">
      <c r="B19" s="51" t="inlineStr">
        <is>
          <t>vs. current price</t>
        </is>
      </c>
      <c r="C19" s="76">
        <f>C63/Assumptions!$C$47-1</f>
        <v/>
      </c>
      <c r="E19" s="76">
        <f>C79/Assumptions!$C$47-1</f>
        <v/>
      </c>
      <c r="G19" s="76">
        <f>C95/Assumptions!$C$47-1</f>
        <v/>
      </c>
    </row>
    <row r="20">
      <c r="B20" s="55" t="inlineStr">
        <is>
          <t>Check: Base − DCF!C35 (must be 0)</t>
        </is>
      </c>
      <c r="E20" s="79">
        <f>ROUND(C79-DCF!C35,6)</f>
        <v/>
      </c>
    </row>
    <row r="32">
      <c r="B32" s="21" t="inlineStr">
        <is>
          <t>TABLE 3 — Quantum scenarios → probability-weighted Price Target</t>
        </is>
      </c>
    </row>
    <row r="33">
      <c r="B33" s="16" t="inlineStr">
        <is>
          <t>Scenario</t>
        </is>
      </c>
      <c r="C33" s="48" t="inlineStr">
        <is>
          <t>Quantum rev FY2030E</t>
        </is>
      </c>
      <c r="D33" s="48" t="inlineStr">
        <is>
          <t>Quantum rev FY2035E</t>
        </is>
      </c>
      <c r="E33" s="48" t="inlineStr">
        <is>
          <t>Value / share</t>
        </is>
      </c>
      <c r="F33" s="48" t="inlineStr">
        <is>
          <t>vs. current</t>
        </is>
      </c>
      <c r="G33" s="48" t="inlineStr">
        <is>
          <t>Probability</t>
        </is>
      </c>
      <c r="H33" s="48" t="inlineStr">
        <is>
          <t>Weighted</t>
        </is>
      </c>
    </row>
    <row r="34">
      <c r="B34" s="51" t="inlineStr">
        <is>
          <t>Quantum Stalls  (×0.25)</t>
        </is>
      </c>
      <c r="C34" s="80">
        <f>H100</f>
        <v/>
      </c>
      <c r="D34" s="80">
        <f>M100</f>
        <v/>
      </c>
      <c r="E34" s="72">
        <f>C111</f>
        <v/>
      </c>
      <c r="F34" s="76">
        <f>E34/Assumptions!$C$47-1</f>
        <v/>
      </c>
      <c r="G34" s="81">
        <f>Assumptions!F79</f>
        <v/>
      </c>
      <c r="H34" s="72">
        <f>E34*G34</f>
        <v/>
      </c>
    </row>
    <row r="35">
      <c r="B35" s="36" t="inlineStr">
        <is>
          <t>Quantum Base  (×1)</t>
        </is>
      </c>
      <c r="C35" s="80">
        <f>H116</f>
        <v/>
      </c>
      <c r="D35" s="80">
        <f>M116</f>
        <v/>
      </c>
      <c r="E35" s="82">
        <f>C127</f>
        <v/>
      </c>
      <c r="F35" s="76">
        <f>E35/Assumptions!$C$47-1</f>
        <v/>
      </c>
      <c r="G35" s="81">
        <f>Assumptions!G79</f>
        <v/>
      </c>
      <c r="H35" s="72">
        <f>E35*G35</f>
        <v/>
      </c>
    </row>
    <row r="36">
      <c r="B36" s="51" t="inlineStr">
        <is>
          <t>Quantum Breakout  (×3)</t>
        </is>
      </c>
      <c r="C36" s="80">
        <f>H132</f>
        <v/>
      </c>
      <c r="D36" s="80">
        <f>M132</f>
        <v/>
      </c>
      <c r="E36" s="72">
        <f>C143</f>
        <v/>
      </c>
      <c r="F36" s="76">
        <f>E36/Assumptions!$C$47-1</f>
        <v/>
      </c>
      <c r="G36" s="81">
        <f>Assumptions!H79</f>
        <v/>
      </c>
      <c r="H36" s="72">
        <f>E36*G36</f>
        <v/>
      </c>
    </row>
    <row r="37">
      <c r="B37" s="51" t="inlineStr">
        <is>
          <t>Quantum Dominant  (×6)</t>
        </is>
      </c>
      <c r="C37" s="80">
        <f>H148</f>
        <v/>
      </c>
      <c r="D37" s="80">
        <f>M148</f>
        <v/>
      </c>
      <c r="E37" s="72">
        <f>C159</f>
        <v/>
      </c>
      <c r="F37" s="76">
        <f>E37/Assumptions!$C$47-1</f>
        <v/>
      </c>
      <c r="G37" s="81">
        <f>Assumptions!I79</f>
        <v/>
      </c>
      <c r="H37" s="72">
        <f>E37*G37</f>
        <v/>
      </c>
    </row>
    <row r="40">
      <c r="B40" s="36" t="inlineStr">
        <is>
          <t>Probability-weighted value per share</t>
        </is>
      </c>
      <c r="C40" s="83">
        <f>SUMPRODUCT(E34:E37,G34:G37)/SUM(G34:G37)</f>
        <v/>
      </c>
    </row>
    <row r="41">
      <c r="B41" s="53" t="inlineStr">
        <is>
          <t>Price Target → DCF!C41  ·  Rating → DCF!C44</t>
        </is>
      </c>
      <c r="C41" s="78">
        <f>DCF!C41</f>
        <v/>
      </c>
      <c r="D41" s="84">
        <f>DCF!C44</f>
        <v/>
      </c>
    </row>
    <row r="42">
      <c r="B42" s="53" t="inlineStr">
        <is>
          <t>Market-implied: quantum value needed to justify current price ($/share)</t>
        </is>
      </c>
      <c r="C42" s="85">
        <f>MAX(0,DCF!C36-DCF!C39)</f>
        <v/>
      </c>
    </row>
    <row r="43">
      <c r="B43" s="53" t="inlineStr">
        <is>
          <t>Market-implied WACC at base g (interpolated on Table 1)</t>
        </is>
      </c>
      <c r="C43" s="77">
        <f>IF(OR(C44&lt;1,C44&gt;6),NA(),INDEX($C$4:$I$4,C44)+(DCF!C36-INDEX($C$7:$I$7,C44))*(INDEX($C$4:$I$4,C44+1)-INDEX($C$4:$I$4,C44))/(INDEX($C$7:$I$7,C44+1)-INDEX($C$7:$I$7,C44)))</f>
        <v/>
      </c>
    </row>
    <row r="44">
      <c r="B44" s="55" t="inlineStr">
        <is>
          <t xml:space="preserve">  helper: bracket position in Table 1 base-g row</t>
        </is>
      </c>
      <c r="C44" s="86">
        <f>COUNTIF($C$7:$I$7,"&gt;="&amp;DCF!C36)</f>
        <v/>
      </c>
    </row>
    <row r="46">
      <c r="B46" s="10" t="inlineStr">
        <is>
          <t>SCENARIO ENGINE  (supporting calculations)</t>
        </is>
      </c>
    </row>
    <row r="47">
      <c r="B47" s="27" t="inlineStr"/>
      <c r="C47" s="28" t="inlineStr">
        <is>
          <t>FY2025A</t>
        </is>
      </c>
      <c r="D47" s="28" t="inlineStr">
        <is>
          <t>FY2026E</t>
        </is>
      </c>
      <c r="E47" s="28" t="inlineStr">
        <is>
          <t>FY2027E</t>
        </is>
      </c>
      <c r="F47" s="28" t="inlineStr">
        <is>
          <t>FY2028E</t>
        </is>
      </c>
      <c r="G47" s="28" t="inlineStr">
        <is>
          <t>FY2029E</t>
        </is>
      </c>
      <c r="H47" s="28" t="inlineStr">
        <is>
          <t>FY2030E</t>
        </is>
      </c>
      <c r="I47" s="28" t="inlineStr">
        <is>
          <t>FY2031E</t>
        </is>
      </c>
      <c r="J47" s="28" t="inlineStr">
        <is>
          <t>FY2032E</t>
        </is>
      </c>
      <c r="K47" s="28" t="inlineStr">
        <is>
          <t>FY2033E</t>
        </is>
      </c>
      <c r="L47" s="28" t="inlineStr">
        <is>
          <t>FY2034E</t>
        </is>
      </c>
      <c r="M47" s="28" t="inlineStr">
        <is>
          <t>FY2035E</t>
        </is>
      </c>
      <c r="N47" s="28" t="inlineStr">
        <is>
          <t>WACC / g</t>
        </is>
      </c>
    </row>
    <row r="48">
      <c r="B48" s="87" t="inlineStr">
        <is>
          <t>Bear · Software</t>
        </is>
      </c>
      <c r="C48" s="52">
        <f>Assumptions!$D$11</f>
        <v/>
      </c>
      <c r="D48" s="35">
        <f>C48*(1+Assumptions!E$5)</f>
        <v/>
      </c>
      <c r="E48" s="35">
        <f>D48*(1+(Assumptions!F$5+Assumptions!$C$74))</f>
        <v/>
      </c>
      <c r="F48" s="35">
        <f>E48*(1+(Assumptions!G$5+Assumptions!$C$74))</f>
        <v/>
      </c>
      <c r="G48" s="35">
        <f>F48*(1+(Assumptions!H$5+Assumptions!$C$74))</f>
        <v/>
      </c>
      <c r="H48" s="35">
        <f>G48*(1+(Assumptions!I$5+Assumptions!$C$74))</f>
        <v/>
      </c>
      <c r="I48" s="35">
        <f>H48*(1+(Assumptions!J$5+Assumptions!$C$74))</f>
        <v/>
      </c>
      <c r="J48" s="35">
        <f>I48*(1+(Assumptions!K$5+Assumptions!$C$74))</f>
        <v/>
      </c>
      <c r="K48" s="35">
        <f>J48*(1+(Assumptions!L$5+Assumptions!$C$74))</f>
        <v/>
      </c>
      <c r="L48" s="35">
        <f>K48*(1+(Assumptions!M$5+Assumptions!$C$74))</f>
        <v/>
      </c>
      <c r="M48" s="35">
        <f>L48*(1+(Assumptions!N$5+Assumptions!$C$74))</f>
        <v/>
      </c>
    </row>
    <row r="49">
      <c r="B49" s="88" t="inlineStr">
        <is>
          <t xml:space="preserve">   Consulting</t>
        </is>
      </c>
      <c r="C49" s="52">
        <f>Assumptions!$D$12</f>
        <v/>
      </c>
      <c r="D49" s="35">
        <f>C49*(1+Assumptions!E$6)</f>
        <v/>
      </c>
      <c r="E49" s="35">
        <f>D49*(1+(Assumptions!F$6+Assumptions!$C$74))</f>
        <v/>
      </c>
      <c r="F49" s="35">
        <f>E49*(1+(Assumptions!G$6+Assumptions!$C$74))</f>
        <v/>
      </c>
      <c r="G49" s="35">
        <f>F49*(1+(Assumptions!H$6+Assumptions!$C$74))</f>
        <v/>
      </c>
      <c r="H49" s="35">
        <f>G49*(1+(Assumptions!I$6+Assumptions!$C$74))</f>
        <v/>
      </c>
      <c r="I49" s="35">
        <f>H49*(1+(Assumptions!J$6+Assumptions!$C$74))</f>
        <v/>
      </c>
      <c r="J49" s="35">
        <f>I49*(1+(Assumptions!K$6+Assumptions!$C$74))</f>
        <v/>
      </c>
      <c r="K49" s="35">
        <f>J49*(1+(Assumptions!L$6+Assumptions!$C$74))</f>
        <v/>
      </c>
      <c r="L49" s="35">
        <f>K49*(1+(Assumptions!M$6+Assumptions!$C$74))</f>
        <v/>
      </c>
      <c r="M49" s="35">
        <f>L49*(1+(Assumptions!N$6+Assumptions!$C$74))</f>
        <v/>
      </c>
    </row>
    <row r="50">
      <c r="B50" s="88" t="inlineStr">
        <is>
          <t xml:space="preserve">   Infrastructure</t>
        </is>
      </c>
      <c r="C50" s="52">
        <f>Assumptions!$D$13</f>
        <v/>
      </c>
      <c r="D50" s="35">
        <f>C50*(1+Assumptions!E$7)</f>
        <v/>
      </c>
      <c r="E50" s="35">
        <f>D50*(1+(Assumptions!F$7+Assumptions!$C$74))</f>
        <v/>
      </c>
      <c r="F50" s="35">
        <f>E50*(1+(Assumptions!G$7+Assumptions!$C$74))</f>
        <v/>
      </c>
      <c r="G50" s="35">
        <f>F50*(1+(Assumptions!H$7+Assumptions!$C$74))</f>
        <v/>
      </c>
      <c r="H50" s="35">
        <f>G50*(1+(Assumptions!I$7+Assumptions!$C$74))</f>
        <v/>
      </c>
      <c r="I50" s="35">
        <f>H50*(1+(Assumptions!J$7+Assumptions!$C$74))</f>
        <v/>
      </c>
      <c r="J50" s="35">
        <f>I50*(1+(Assumptions!K$7+Assumptions!$C$74))</f>
        <v/>
      </c>
      <c r="K50" s="35">
        <f>J50*(1+(Assumptions!L$7+Assumptions!$C$74))</f>
        <v/>
      </c>
      <c r="L50" s="35">
        <f>K50*(1+(Assumptions!M$7+Assumptions!$C$74))</f>
        <v/>
      </c>
      <c r="M50" s="35">
        <f>L50*(1+(Assumptions!N$7+Assumptions!$C$74))</f>
        <v/>
      </c>
    </row>
    <row r="51">
      <c r="B51" s="88" t="inlineStr">
        <is>
          <t xml:space="preserve">   Financing</t>
        </is>
      </c>
      <c r="C51" s="52">
        <f>Assumptions!$D$14</f>
        <v/>
      </c>
      <c r="D51" s="35">
        <f>C51*(1+Assumptions!E$8)</f>
        <v/>
      </c>
      <c r="E51" s="35">
        <f>D51*(1+Assumptions!F$8)</f>
        <v/>
      </c>
      <c r="F51" s="35">
        <f>E51*(1+Assumptions!G$8)</f>
        <v/>
      </c>
      <c r="G51" s="35">
        <f>F51*(1+Assumptions!H$8)</f>
        <v/>
      </c>
      <c r="H51" s="35">
        <f>G51*(1+Assumptions!I$8)</f>
        <v/>
      </c>
      <c r="I51" s="35">
        <f>H51*(1+Assumptions!J$8)</f>
        <v/>
      </c>
      <c r="J51" s="35">
        <f>I51*(1+Assumptions!K$8)</f>
        <v/>
      </c>
      <c r="K51" s="35">
        <f>J51*(1+Assumptions!L$8)</f>
        <v/>
      </c>
      <c r="L51" s="35">
        <f>K51*(1+Assumptions!M$8)</f>
        <v/>
      </c>
      <c r="M51" s="35">
        <f>L51*(1+Assumptions!N$8)</f>
        <v/>
      </c>
    </row>
    <row r="52">
      <c r="B52" s="88" t="inlineStr">
        <is>
          <t xml:space="preserve">   Quantum revenue</t>
        </is>
      </c>
      <c r="C52" s="35">
        <f>0</f>
        <v/>
      </c>
      <c r="D52" s="35">
        <f>Assumptions!E$15*Assumptions!$C$78</f>
        <v/>
      </c>
      <c r="E52" s="35">
        <f>Assumptions!F$15*Assumptions!$C$78</f>
        <v/>
      </c>
      <c r="F52" s="35">
        <f>Assumptions!G$15*Assumptions!$C$78</f>
        <v/>
      </c>
      <c r="G52" s="35">
        <f>Assumptions!H$15*Assumptions!$C$78</f>
        <v/>
      </c>
      <c r="H52" s="35">
        <f>Assumptions!I$15*Assumptions!$C$78</f>
        <v/>
      </c>
      <c r="I52" s="35">
        <f>Assumptions!J$15*Assumptions!$C$78</f>
        <v/>
      </c>
      <c r="J52" s="35">
        <f>Assumptions!K$15*Assumptions!$C$78</f>
        <v/>
      </c>
      <c r="K52" s="35">
        <f>Assumptions!L$15*Assumptions!$C$78</f>
        <v/>
      </c>
      <c r="L52" s="35">
        <f>Assumptions!M$15*Assumptions!$C$78</f>
        <v/>
      </c>
      <c r="M52" s="35">
        <f>Assumptions!N$15*Assumptions!$C$78</f>
        <v/>
      </c>
    </row>
    <row r="53">
      <c r="B53" s="88" t="inlineStr">
        <is>
          <t xml:space="preserve">   Total revenue</t>
        </is>
      </c>
      <c r="C53" s="35">
        <f>SUM(C48:C52)</f>
        <v/>
      </c>
      <c r="D53" s="35">
        <f>SUM(D48:D52)</f>
        <v/>
      </c>
      <c r="E53" s="35">
        <f>SUM(E48:E52)</f>
        <v/>
      </c>
      <c r="F53" s="35">
        <f>SUM(F48:F52)</f>
        <v/>
      </c>
      <c r="G53" s="35">
        <f>SUM(G48:G52)</f>
        <v/>
      </c>
      <c r="H53" s="35">
        <f>SUM(H48:H52)</f>
        <v/>
      </c>
      <c r="I53" s="35">
        <f>SUM(I48:I52)</f>
        <v/>
      </c>
      <c r="J53" s="35">
        <f>SUM(J48:J52)</f>
        <v/>
      </c>
      <c r="K53" s="35">
        <f>SUM(K48:K52)</f>
        <v/>
      </c>
      <c r="L53" s="35">
        <f>SUM(L48:L52)</f>
        <v/>
      </c>
      <c r="M53" s="35">
        <f>SUM(M48:M52)</f>
        <v/>
      </c>
    </row>
    <row r="54">
      <c r="B54" s="88" t="inlineStr">
        <is>
          <t xml:space="preserve">   Segment profit (incl. quantum)</t>
        </is>
      </c>
      <c r="D54" s="35">
        <f>D48*(Assumptions!E$19)+D49*(Assumptions!E$20)+D50*(Assumptions!E$21)+D51*(Assumptions!E$22)+D52*Assumptions!E$23-Assumptions!E$24</f>
        <v/>
      </c>
      <c r="E54" s="35">
        <f>E48*(Assumptions!F$19+Assumptions!$C$75)+E49*(Assumptions!F$20+Assumptions!$C$75)+E50*(Assumptions!F$21+Assumptions!$C$75)+E51*(Assumptions!F$22)+E52*Assumptions!F$23-Assumptions!F$24</f>
        <v/>
      </c>
      <c r="F54" s="35">
        <f>F48*(Assumptions!G$19+Assumptions!$C$75)+F49*(Assumptions!G$20+Assumptions!$C$75)+F50*(Assumptions!G$21+Assumptions!$C$75)+F51*(Assumptions!G$22)+F52*Assumptions!G$23-Assumptions!G$24</f>
        <v/>
      </c>
      <c r="G54" s="35">
        <f>G48*(Assumptions!H$19+Assumptions!$C$75)+G49*(Assumptions!H$20+Assumptions!$C$75)+G50*(Assumptions!H$21+Assumptions!$C$75)+G51*(Assumptions!H$22)+G52*Assumptions!H$23-Assumptions!H$24</f>
        <v/>
      </c>
      <c r="H54" s="35">
        <f>H48*(Assumptions!I$19+Assumptions!$C$75)+H49*(Assumptions!I$20+Assumptions!$C$75)+H50*(Assumptions!I$21+Assumptions!$C$75)+H51*(Assumptions!I$22)+H52*Assumptions!I$23-Assumptions!I$24</f>
        <v/>
      </c>
      <c r="I54" s="35">
        <f>I48*(Assumptions!J$19+Assumptions!$C$75)+I49*(Assumptions!J$20+Assumptions!$C$75)+I50*(Assumptions!J$21+Assumptions!$C$75)+I51*(Assumptions!J$22)+I52*Assumptions!J$23-Assumptions!J$24</f>
        <v/>
      </c>
      <c r="J54" s="35">
        <f>J48*(Assumptions!K$19+Assumptions!$C$75)+J49*(Assumptions!K$20+Assumptions!$C$75)+J50*(Assumptions!K$21+Assumptions!$C$75)+J51*(Assumptions!K$22)+J52*Assumptions!K$23-Assumptions!K$24</f>
        <v/>
      </c>
      <c r="K54" s="35">
        <f>K48*(Assumptions!L$19+Assumptions!$C$75)+K49*(Assumptions!L$20+Assumptions!$C$75)+K50*(Assumptions!L$21+Assumptions!$C$75)+K51*(Assumptions!L$22)+K52*Assumptions!L$23-Assumptions!L$24</f>
        <v/>
      </c>
      <c r="L54" s="35">
        <f>L48*(Assumptions!M$19+Assumptions!$C$75)+L49*(Assumptions!M$20+Assumptions!$C$75)+L50*(Assumptions!M$21+Assumptions!$C$75)+L51*(Assumptions!M$22)+L52*Assumptions!M$23-Assumptions!M$24</f>
        <v/>
      </c>
      <c r="M54" s="35">
        <f>M48*(Assumptions!N$19+Assumptions!$C$75)+M49*(Assumptions!N$20+Assumptions!$C$75)+M50*(Assumptions!N$21+Assumptions!$C$75)+M51*(Assumptions!N$22)+M52*Assumptions!N$23-Assumptions!N$24</f>
        <v/>
      </c>
    </row>
    <row r="55">
      <c r="B55" s="88" t="inlineStr">
        <is>
          <t xml:space="preserve">   EBIT</t>
        </is>
      </c>
      <c r="D55" s="35">
        <f>D54-D53*Assumptions!E$25</f>
        <v/>
      </c>
      <c r="E55" s="35">
        <f>E54-E53*Assumptions!F$25</f>
        <v/>
      </c>
      <c r="F55" s="35">
        <f>F54-F53*Assumptions!G$25</f>
        <v/>
      </c>
      <c r="G55" s="35">
        <f>G54-G53*Assumptions!H$25</f>
        <v/>
      </c>
      <c r="H55" s="35">
        <f>H54-H53*Assumptions!I$25</f>
        <v/>
      </c>
      <c r="I55" s="35">
        <f>I54-I53*Assumptions!J$25</f>
        <v/>
      </c>
      <c r="J55" s="35">
        <f>J54-J53*Assumptions!K$25</f>
        <v/>
      </c>
      <c r="K55" s="35">
        <f>K54-K53*Assumptions!L$25</f>
        <v/>
      </c>
      <c r="L55" s="35">
        <f>L54-L53*Assumptions!M$25</f>
        <v/>
      </c>
      <c r="M55" s="35">
        <f>M54-M53*Assumptions!N$25</f>
        <v/>
      </c>
    </row>
    <row r="56">
      <c r="B56" s="88" t="inlineStr">
        <is>
          <t xml:space="preserve">   NOPAT</t>
        </is>
      </c>
      <c r="D56" s="35">
        <f>D55-MAX(0,D55)*Assumptions!E$31</f>
        <v/>
      </c>
      <c r="E56" s="35">
        <f>E55-MAX(0,E55)*Assumptions!F$31</f>
        <v/>
      </c>
      <c r="F56" s="35">
        <f>F55-MAX(0,F55)*Assumptions!G$31</f>
        <v/>
      </c>
      <c r="G56" s="35">
        <f>G55-MAX(0,G55)*Assumptions!H$31</f>
        <v/>
      </c>
      <c r="H56" s="35">
        <f>H55-MAX(0,H55)*Assumptions!I$31</f>
        <v/>
      </c>
      <c r="I56" s="35">
        <f>I55-MAX(0,I55)*Assumptions!J$31</f>
        <v/>
      </c>
      <c r="J56" s="35">
        <f>J55-MAX(0,J55)*Assumptions!K$31</f>
        <v/>
      </c>
      <c r="K56" s="35">
        <f>K55-MAX(0,K55)*Assumptions!L$31</f>
        <v/>
      </c>
      <c r="L56" s="35">
        <f>L55-MAX(0,L55)*Assumptions!M$31</f>
        <v/>
      </c>
      <c r="M56" s="35">
        <f>M55-MAX(0,M55)*Assumptions!N$31</f>
        <v/>
      </c>
    </row>
    <row r="57">
      <c r="B57" s="88" t="inlineStr">
        <is>
          <t xml:space="preserve">   D&amp;A</t>
        </is>
      </c>
      <c r="D57" s="35">
        <f>D53*Assumptions!E$27</f>
        <v/>
      </c>
      <c r="E57" s="35">
        <f>E53*Assumptions!F$27</f>
        <v/>
      </c>
      <c r="F57" s="35">
        <f>F53*Assumptions!G$27</f>
        <v/>
      </c>
      <c r="G57" s="35">
        <f>G53*Assumptions!H$27</f>
        <v/>
      </c>
      <c r="H57" s="35">
        <f>H53*Assumptions!I$27</f>
        <v/>
      </c>
      <c r="I57" s="35">
        <f>I53*Assumptions!J$27</f>
        <v/>
      </c>
      <c r="J57" s="35">
        <f>J53*Assumptions!K$27</f>
        <v/>
      </c>
      <c r="K57" s="35">
        <f>K53*Assumptions!L$27</f>
        <v/>
      </c>
      <c r="L57" s="35">
        <f>L53*Assumptions!M$27</f>
        <v/>
      </c>
      <c r="M57" s="35">
        <f>M53*Assumptions!N$27</f>
        <v/>
      </c>
    </row>
    <row r="58">
      <c r="B58" s="88" t="inlineStr">
        <is>
          <t xml:space="preserve">   Capex (core + quantum)</t>
        </is>
      </c>
      <c r="D58" s="35">
        <f>-D53*Assumptions!E$28-Assumptions!E$29</f>
        <v/>
      </c>
      <c r="E58" s="35">
        <f>-E53*Assumptions!F$28-Assumptions!F$29</f>
        <v/>
      </c>
      <c r="F58" s="35">
        <f>-F53*Assumptions!G$28-Assumptions!G$29</f>
        <v/>
      </c>
      <c r="G58" s="35">
        <f>-G53*Assumptions!H$28-Assumptions!H$29</f>
        <v/>
      </c>
      <c r="H58" s="35">
        <f>-H53*Assumptions!I$28-Assumptions!I$29</f>
        <v/>
      </c>
      <c r="I58" s="35">
        <f>-I53*Assumptions!J$28-Assumptions!J$29</f>
        <v/>
      </c>
      <c r="J58" s="35">
        <f>-J53*Assumptions!K$28-Assumptions!K$29</f>
        <v/>
      </c>
      <c r="K58" s="35">
        <f>-K53*Assumptions!L$28-Assumptions!L$29</f>
        <v/>
      </c>
      <c r="L58" s="35">
        <f>-L53*Assumptions!M$28-Assumptions!M$29</f>
        <v/>
      </c>
      <c r="M58" s="35">
        <f>-M53*Assumptions!N$28-Assumptions!N$29</f>
        <v/>
      </c>
    </row>
    <row r="59">
      <c r="B59" s="88" t="inlineStr">
        <is>
          <t xml:space="preserve">   Δ working capital</t>
        </is>
      </c>
      <c r="D59" s="35">
        <f>-(D53-C53)*Assumptions!E$30</f>
        <v/>
      </c>
      <c r="E59" s="35">
        <f>-(E53-D53)*Assumptions!F$30</f>
        <v/>
      </c>
      <c r="F59" s="35">
        <f>-(F53-E53)*Assumptions!G$30</f>
        <v/>
      </c>
      <c r="G59" s="35">
        <f>-(G53-F53)*Assumptions!H$30</f>
        <v/>
      </c>
      <c r="H59" s="35">
        <f>-(H53-G53)*Assumptions!I$30</f>
        <v/>
      </c>
      <c r="I59" s="35">
        <f>-(I53-H53)*Assumptions!J$30</f>
        <v/>
      </c>
      <c r="J59" s="35">
        <f>-(J53-I53)*Assumptions!K$30</f>
        <v/>
      </c>
      <c r="K59" s="35">
        <f>-(K53-J53)*Assumptions!L$30</f>
        <v/>
      </c>
      <c r="L59" s="35">
        <f>-(L53-K53)*Assumptions!M$30</f>
        <v/>
      </c>
      <c r="M59" s="35">
        <f>-(M53-L53)*Assumptions!N$30</f>
        <v/>
      </c>
    </row>
    <row r="60">
      <c r="B60" s="88" t="inlineStr">
        <is>
          <t xml:space="preserve">   Unlevered FCF</t>
        </is>
      </c>
      <c r="D60" s="37">
        <f>D56+D57+D58+D59</f>
        <v/>
      </c>
      <c r="E60" s="37">
        <f>E56+E57+E58+E59</f>
        <v/>
      </c>
      <c r="F60" s="37">
        <f>F56+F57+F58+F59</f>
        <v/>
      </c>
      <c r="G60" s="37">
        <f>G56+G57+G58+G59</f>
        <v/>
      </c>
      <c r="H60" s="37">
        <f>H56+H57+H58+H59</f>
        <v/>
      </c>
      <c r="I60" s="37">
        <f>I56+I57+I58+I59</f>
        <v/>
      </c>
      <c r="J60" s="37">
        <f>J56+J57+J58+J59</f>
        <v/>
      </c>
      <c r="K60" s="37">
        <f>K56+K57+K58+K59</f>
        <v/>
      </c>
      <c r="L60" s="37">
        <f>L56+L57+L58+L59</f>
        <v/>
      </c>
      <c r="M60" s="37">
        <f>M56+M57+M58+M59</f>
        <v/>
      </c>
    </row>
    <row r="61">
      <c r="B61" s="88" t="inlineStr">
        <is>
          <t xml:space="preserve">   PV of FCF</t>
        </is>
      </c>
      <c r="D61" s="35">
        <f>D60*DCF!D$17/(1+$N$61)^DCF!D$18</f>
        <v/>
      </c>
      <c r="E61" s="35">
        <f>E60*DCF!E$17/(1+$N$61)^DCF!E$18</f>
        <v/>
      </c>
      <c r="F61" s="35">
        <f>F60*DCF!F$17/(1+$N$61)^DCF!F$18</f>
        <v/>
      </c>
      <c r="G61" s="35">
        <f>G60*DCF!G$17/(1+$N$61)^DCF!G$18</f>
        <v/>
      </c>
      <c r="H61" s="35">
        <f>H60*DCF!H$17/(1+$N$61)^DCF!H$18</f>
        <v/>
      </c>
      <c r="I61" s="35">
        <f>I60*DCF!I$17/(1+$N$61)^DCF!I$18</f>
        <v/>
      </c>
      <c r="J61" s="35">
        <f>J60*DCF!J$17/(1+$N$61)^DCF!J$18</f>
        <v/>
      </c>
      <c r="K61" s="35">
        <f>K60*DCF!K$17/(1+$N$61)^DCF!K$18</f>
        <v/>
      </c>
      <c r="L61" s="35">
        <f>L60*DCF!L$17/(1+$N$61)^DCF!L$18</f>
        <v/>
      </c>
      <c r="M61" s="35">
        <f>M60*DCF!M$17/(1+$N$61)^DCF!M$18</f>
        <v/>
      </c>
      <c r="N61" s="46">
        <f>DCF!$C$14+Assumptions!$C$76</f>
        <v/>
      </c>
    </row>
    <row r="62">
      <c r="N62" s="46">
        <f>Assumptions!$C$77</f>
        <v/>
      </c>
    </row>
    <row r="63">
      <c r="B63" s="87" t="inlineStr">
        <is>
          <t xml:space="preserve">   Bear value per share</t>
        </is>
      </c>
      <c r="C63" s="63">
        <f>(SUM(D61:M61)+M60*(1+$N$62)/($N$61-$N$62)/(1+$N$61)^DCF!$M$18+DCF!$C$31-DCF!$C$32)/DCF!$C$34</f>
        <v/>
      </c>
    </row>
    <row r="64">
      <c r="B64" s="87" t="inlineStr">
        <is>
          <t>Base · Software</t>
        </is>
      </c>
      <c r="C64" s="52">
        <f>Assumptions!$D$11</f>
        <v/>
      </c>
      <c r="D64" s="35">
        <f>C64*(1+Assumptions!E$5)</f>
        <v/>
      </c>
      <c r="E64" s="35">
        <f>D64*(1+(Assumptions!F$5+Assumptions!$D$74))</f>
        <v/>
      </c>
      <c r="F64" s="35">
        <f>E64*(1+(Assumptions!G$5+Assumptions!$D$74))</f>
        <v/>
      </c>
      <c r="G64" s="35">
        <f>F64*(1+(Assumptions!H$5+Assumptions!$D$74))</f>
        <v/>
      </c>
      <c r="H64" s="35">
        <f>G64*(1+(Assumptions!I$5+Assumptions!$D$74))</f>
        <v/>
      </c>
      <c r="I64" s="35">
        <f>H64*(1+(Assumptions!J$5+Assumptions!$D$74))</f>
        <v/>
      </c>
      <c r="J64" s="35">
        <f>I64*(1+(Assumptions!K$5+Assumptions!$D$74))</f>
        <v/>
      </c>
      <c r="K64" s="35">
        <f>J64*(1+(Assumptions!L$5+Assumptions!$D$74))</f>
        <v/>
      </c>
      <c r="L64" s="35">
        <f>K64*(1+(Assumptions!M$5+Assumptions!$D$74))</f>
        <v/>
      </c>
      <c r="M64" s="35">
        <f>L64*(1+(Assumptions!N$5+Assumptions!$D$74))</f>
        <v/>
      </c>
    </row>
    <row r="65">
      <c r="B65" s="88" t="inlineStr">
        <is>
          <t xml:space="preserve">   Consulting</t>
        </is>
      </c>
      <c r="C65" s="52">
        <f>Assumptions!$D$12</f>
        <v/>
      </c>
      <c r="D65" s="35">
        <f>C65*(1+Assumptions!E$6)</f>
        <v/>
      </c>
      <c r="E65" s="35">
        <f>D65*(1+(Assumptions!F$6+Assumptions!$D$74))</f>
        <v/>
      </c>
      <c r="F65" s="35">
        <f>E65*(1+(Assumptions!G$6+Assumptions!$D$74))</f>
        <v/>
      </c>
      <c r="G65" s="35">
        <f>F65*(1+(Assumptions!H$6+Assumptions!$D$74))</f>
        <v/>
      </c>
      <c r="H65" s="35">
        <f>G65*(1+(Assumptions!I$6+Assumptions!$D$74))</f>
        <v/>
      </c>
      <c r="I65" s="35">
        <f>H65*(1+(Assumptions!J$6+Assumptions!$D$74))</f>
        <v/>
      </c>
      <c r="J65" s="35">
        <f>I65*(1+(Assumptions!K$6+Assumptions!$D$74))</f>
        <v/>
      </c>
      <c r="K65" s="35">
        <f>J65*(1+(Assumptions!L$6+Assumptions!$D$74))</f>
        <v/>
      </c>
      <c r="L65" s="35">
        <f>K65*(1+(Assumptions!M$6+Assumptions!$D$74))</f>
        <v/>
      </c>
      <c r="M65" s="35">
        <f>L65*(1+(Assumptions!N$6+Assumptions!$D$74))</f>
        <v/>
      </c>
    </row>
    <row r="66">
      <c r="B66" s="88" t="inlineStr">
        <is>
          <t xml:space="preserve">   Infrastructure</t>
        </is>
      </c>
      <c r="C66" s="52">
        <f>Assumptions!$D$13</f>
        <v/>
      </c>
      <c r="D66" s="35">
        <f>C66*(1+Assumptions!E$7)</f>
        <v/>
      </c>
      <c r="E66" s="35">
        <f>D66*(1+(Assumptions!F$7+Assumptions!$D$74))</f>
        <v/>
      </c>
      <c r="F66" s="35">
        <f>E66*(1+(Assumptions!G$7+Assumptions!$D$74))</f>
        <v/>
      </c>
      <c r="G66" s="35">
        <f>F66*(1+(Assumptions!H$7+Assumptions!$D$74))</f>
        <v/>
      </c>
      <c r="H66" s="35">
        <f>G66*(1+(Assumptions!I$7+Assumptions!$D$74))</f>
        <v/>
      </c>
      <c r="I66" s="35">
        <f>H66*(1+(Assumptions!J$7+Assumptions!$D$74))</f>
        <v/>
      </c>
      <c r="J66" s="35">
        <f>I66*(1+(Assumptions!K$7+Assumptions!$D$74))</f>
        <v/>
      </c>
      <c r="K66" s="35">
        <f>J66*(1+(Assumptions!L$7+Assumptions!$D$74))</f>
        <v/>
      </c>
      <c r="L66" s="35">
        <f>K66*(1+(Assumptions!M$7+Assumptions!$D$74))</f>
        <v/>
      </c>
      <c r="M66" s="35">
        <f>L66*(1+(Assumptions!N$7+Assumptions!$D$74))</f>
        <v/>
      </c>
    </row>
    <row r="67">
      <c r="B67" s="88" t="inlineStr">
        <is>
          <t xml:space="preserve">   Financing</t>
        </is>
      </c>
      <c r="C67" s="52">
        <f>Assumptions!$D$14</f>
        <v/>
      </c>
      <c r="D67" s="35">
        <f>C67*(1+Assumptions!E$8)</f>
        <v/>
      </c>
      <c r="E67" s="35">
        <f>D67*(1+Assumptions!F$8)</f>
        <v/>
      </c>
      <c r="F67" s="35">
        <f>E67*(1+Assumptions!G$8)</f>
        <v/>
      </c>
      <c r="G67" s="35">
        <f>F67*(1+Assumptions!H$8)</f>
        <v/>
      </c>
      <c r="H67" s="35">
        <f>G67*(1+Assumptions!I$8)</f>
        <v/>
      </c>
      <c r="I67" s="35">
        <f>H67*(1+Assumptions!J$8)</f>
        <v/>
      </c>
      <c r="J67" s="35">
        <f>I67*(1+Assumptions!K$8)</f>
        <v/>
      </c>
      <c r="K67" s="35">
        <f>J67*(1+Assumptions!L$8)</f>
        <v/>
      </c>
      <c r="L67" s="35">
        <f>K67*(1+Assumptions!M$8)</f>
        <v/>
      </c>
      <c r="M67" s="35">
        <f>L67*(1+Assumptions!N$8)</f>
        <v/>
      </c>
    </row>
    <row r="68">
      <c r="B68" s="88" t="inlineStr">
        <is>
          <t xml:space="preserve">   Quantum revenue</t>
        </is>
      </c>
      <c r="C68" s="35">
        <f>0</f>
        <v/>
      </c>
      <c r="D68" s="35">
        <f>Assumptions!E$15*Assumptions!$D$78</f>
        <v/>
      </c>
      <c r="E68" s="35">
        <f>Assumptions!F$15*Assumptions!$D$78</f>
        <v/>
      </c>
      <c r="F68" s="35">
        <f>Assumptions!G$15*Assumptions!$D$78</f>
        <v/>
      </c>
      <c r="G68" s="35">
        <f>Assumptions!H$15*Assumptions!$D$78</f>
        <v/>
      </c>
      <c r="H68" s="35">
        <f>Assumptions!I$15*Assumptions!$D$78</f>
        <v/>
      </c>
      <c r="I68" s="35">
        <f>Assumptions!J$15*Assumptions!$D$78</f>
        <v/>
      </c>
      <c r="J68" s="35">
        <f>Assumptions!K$15*Assumptions!$D$78</f>
        <v/>
      </c>
      <c r="K68" s="35">
        <f>Assumptions!L$15*Assumptions!$D$78</f>
        <v/>
      </c>
      <c r="L68" s="35">
        <f>Assumptions!M$15*Assumptions!$D$78</f>
        <v/>
      </c>
      <c r="M68" s="35">
        <f>Assumptions!N$15*Assumptions!$D$78</f>
        <v/>
      </c>
    </row>
    <row r="69">
      <c r="B69" s="88" t="inlineStr">
        <is>
          <t xml:space="preserve">   Total revenue</t>
        </is>
      </c>
      <c r="C69" s="35">
        <f>SUM(C64:C68)</f>
        <v/>
      </c>
      <c r="D69" s="35">
        <f>SUM(D64:D68)</f>
        <v/>
      </c>
      <c r="E69" s="35">
        <f>SUM(E64:E68)</f>
        <v/>
      </c>
      <c r="F69" s="35">
        <f>SUM(F64:F68)</f>
        <v/>
      </c>
      <c r="G69" s="35">
        <f>SUM(G64:G68)</f>
        <v/>
      </c>
      <c r="H69" s="35">
        <f>SUM(H64:H68)</f>
        <v/>
      </c>
      <c r="I69" s="35">
        <f>SUM(I64:I68)</f>
        <v/>
      </c>
      <c r="J69" s="35">
        <f>SUM(J64:J68)</f>
        <v/>
      </c>
      <c r="K69" s="35">
        <f>SUM(K64:K68)</f>
        <v/>
      </c>
      <c r="L69" s="35">
        <f>SUM(L64:L68)</f>
        <v/>
      </c>
      <c r="M69" s="35">
        <f>SUM(M64:M68)</f>
        <v/>
      </c>
    </row>
    <row r="70">
      <c r="B70" s="88" t="inlineStr">
        <is>
          <t xml:space="preserve">   Segment profit (incl. quantum)</t>
        </is>
      </c>
      <c r="D70" s="35">
        <f>D64*(Assumptions!E$19)+D65*(Assumptions!E$20)+D66*(Assumptions!E$21)+D67*(Assumptions!E$22)+D68*Assumptions!E$23-Assumptions!E$24</f>
        <v/>
      </c>
      <c r="E70" s="35">
        <f>E64*(Assumptions!F$19+Assumptions!$D$75)+E65*(Assumptions!F$20+Assumptions!$D$75)+E66*(Assumptions!F$21+Assumptions!$D$75)+E67*(Assumptions!F$22)+E68*Assumptions!F$23-Assumptions!F$24</f>
        <v/>
      </c>
      <c r="F70" s="35">
        <f>F64*(Assumptions!G$19+Assumptions!$D$75)+F65*(Assumptions!G$20+Assumptions!$D$75)+F66*(Assumptions!G$21+Assumptions!$D$75)+F67*(Assumptions!G$22)+F68*Assumptions!G$23-Assumptions!G$24</f>
        <v/>
      </c>
      <c r="G70" s="35">
        <f>G64*(Assumptions!H$19+Assumptions!$D$75)+G65*(Assumptions!H$20+Assumptions!$D$75)+G66*(Assumptions!H$21+Assumptions!$D$75)+G67*(Assumptions!H$22)+G68*Assumptions!H$23-Assumptions!H$24</f>
        <v/>
      </c>
      <c r="H70" s="35">
        <f>H64*(Assumptions!I$19+Assumptions!$D$75)+H65*(Assumptions!I$20+Assumptions!$D$75)+H66*(Assumptions!I$21+Assumptions!$D$75)+H67*(Assumptions!I$22)+H68*Assumptions!I$23-Assumptions!I$24</f>
        <v/>
      </c>
      <c r="I70" s="35">
        <f>I64*(Assumptions!J$19+Assumptions!$D$75)+I65*(Assumptions!J$20+Assumptions!$D$75)+I66*(Assumptions!J$21+Assumptions!$D$75)+I67*(Assumptions!J$22)+I68*Assumptions!J$23-Assumptions!J$24</f>
        <v/>
      </c>
      <c r="J70" s="35">
        <f>J64*(Assumptions!K$19+Assumptions!$D$75)+J65*(Assumptions!K$20+Assumptions!$D$75)+J66*(Assumptions!K$21+Assumptions!$D$75)+J67*(Assumptions!K$22)+J68*Assumptions!K$23-Assumptions!K$24</f>
        <v/>
      </c>
      <c r="K70" s="35">
        <f>K64*(Assumptions!L$19+Assumptions!$D$75)+K65*(Assumptions!L$20+Assumptions!$D$75)+K66*(Assumptions!L$21+Assumptions!$D$75)+K67*(Assumptions!L$22)+K68*Assumptions!L$23-Assumptions!L$24</f>
        <v/>
      </c>
      <c r="L70" s="35">
        <f>L64*(Assumptions!M$19+Assumptions!$D$75)+L65*(Assumptions!M$20+Assumptions!$D$75)+L66*(Assumptions!M$21+Assumptions!$D$75)+L67*(Assumptions!M$22)+L68*Assumptions!M$23-Assumptions!M$24</f>
        <v/>
      </c>
      <c r="M70" s="35">
        <f>M64*(Assumptions!N$19+Assumptions!$D$75)+M65*(Assumptions!N$20+Assumptions!$D$75)+M66*(Assumptions!N$21+Assumptions!$D$75)+M67*(Assumptions!N$22)+M68*Assumptions!N$23-Assumptions!N$24</f>
        <v/>
      </c>
    </row>
    <row r="71">
      <c r="B71" s="88" t="inlineStr">
        <is>
          <t xml:space="preserve">   EBIT</t>
        </is>
      </c>
      <c r="D71" s="35">
        <f>D70-D69*Assumptions!E$25</f>
        <v/>
      </c>
      <c r="E71" s="35">
        <f>E70-E69*Assumptions!F$25</f>
        <v/>
      </c>
      <c r="F71" s="35">
        <f>F70-F69*Assumptions!G$25</f>
        <v/>
      </c>
      <c r="G71" s="35">
        <f>G70-G69*Assumptions!H$25</f>
        <v/>
      </c>
      <c r="H71" s="35">
        <f>H70-H69*Assumptions!I$25</f>
        <v/>
      </c>
      <c r="I71" s="35">
        <f>I70-I69*Assumptions!J$25</f>
        <v/>
      </c>
      <c r="J71" s="35">
        <f>J70-J69*Assumptions!K$25</f>
        <v/>
      </c>
      <c r="K71" s="35">
        <f>K70-K69*Assumptions!L$25</f>
        <v/>
      </c>
      <c r="L71" s="35">
        <f>L70-L69*Assumptions!M$25</f>
        <v/>
      </c>
      <c r="M71" s="35">
        <f>M70-M69*Assumptions!N$25</f>
        <v/>
      </c>
    </row>
    <row r="72">
      <c r="B72" s="88" t="inlineStr">
        <is>
          <t xml:space="preserve">   NOPAT</t>
        </is>
      </c>
      <c r="D72" s="35">
        <f>D71-MAX(0,D71)*Assumptions!E$31</f>
        <v/>
      </c>
      <c r="E72" s="35">
        <f>E71-MAX(0,E71)*Assumptions!F$31</f>
        <v/>
      </c>
      <c r="F72" s="35">
        <f>F71-MAX(0,F71)*Assumptions!G$31</f>
        <v/>
      </c>
      <c r="G72" s="35">
        <f>G71-MAX(0,G71)*Assumptions!H$31</f>
        <v/>
      </c>
      <c r="H72" s="35">
        <f>H71-MAX(0,H71)*Assumptions!I$31</f>
        <v/>
      </c>
      <c r="I72" s="35">
        <f>I71-MAX(0,I71)*Assumptions!J$31</f>
        <v/>
      </c>
      <c r="J72" s="35">
        <f>J71-MAX(0,J71)*Assumptions!K$31</f>
        <v/>
      </c>
      <c r="K72" s="35">
        <f>K71-MAX(0,K71)*Assumptions!L$31</f>
        <v/>
      </c>
      <c r="L72" s="35">
        <f>L71-MAX(0,L71)*Assumptions!M$31</f>
        <v/>
      </c>
      <c r="M72" s="35">
        <f>M71-MAX(0,M71)*Assumptions!N$31</f>
        <v/>
      </c>
    </row>
    <row r="73">
      <c r="B73" s="88" t="inlineStr">
        <is>
          <t xml:space="preserve">   D&amp;A</t>
        </is>
      </c>
      <c r="D73" s="35">
        <f>D69*Assumptions!E$27</f>
        <v/>
      </c>
      <c r="E73" s="35">
        <f>E69*Assumptions!F$27</f>
        <v/>
      </c>
      <c r="F73" s="35">
        <f>F69*Assumptions!G$27</f>
        <v/>
      </c>
      <c r="G73" s="35">
        <f>G69*Assumptions!H$27</f>
        <v/>
      </c>
      <c r="H73" s="35">
        <f>H69*Assumptions!I$27</f>
        <v/>
      </c>
      <c r="I73" s="35">
        <f>I69*Assumptions!J$27</f>
        <v/>
      </c>
      <c r="J73" s="35">
        <f>J69*Assumptions!K$27</f>
        <v/>
      </c>
      <c r="K73" s="35">
        <f>K69*Assumptions!L$27</f>
        <v/>
      </c>
      <c r="L73" s="35">
        <f>L69*Assumptions!M$27</f>
        <v/>
      </c>
      <c r="M73" s="35">
        <f>M69*Assumptions!N$27</f>
        <v/>
      </c>
    </row>
    <row r="74">
      <c r="B74" s="88" t="inlineStr">
        <is>
          <t xml:space="preserve">   Capex (core + quantum)</t>
        </is>
      </c>
      <c r="D74" s="35">
        <f>-D69*Assumptions!E$28-Assumptions!E$29</f>
        <v/>
      </c>
      <c r="E74" s="35">
        <f>-E69*Assumptions!F$28-Assumptions!F$29</f>
        <v/>
      </c>
      <c r="F74" s="35">
        <f>-F69*Assumptions!G$28-Assumptions!G$29</f>
        <v/>
      </c>
      <c r="G74" s="35">
        <f>-G69*Assumptions!H$28-Assumptions!H$29</f>
        <v/>
      </c>
      <c r="H74" s="35">
        <f>-H69*Assumptions!I$28-Assumptions!I$29</f>
        <v/>
      </c>
      <c r="I74" s="35">
        <f>-I69*Assumptions!J$28-Assumptions!J$29</f>
        <v/>
      </c>
      <c r="J74" s="35">
        <f>-J69*Assumptions!K$28-Assumptions!K$29</f>
        <v/>
      </c>
      <c r="K74" s="35">
        <f>-K69*Assumptions!L$28-Assumptions!L$29</f>
        <v/>
      </c>
      <c r="L74" s="35">
        <f>-L69*Assumptions!M$28-Assumptions!M$29</f>
        <v/>
      </c>
      <c r="M74" s="35">
        <f>-M69*Assumptions!N$28-Assumptions!N$29</f>
        <v/>
      </c>
    </row>
    <row r="75">
      <c r="B75" s="88" t="inlineStr">
        <is>
          <t xml:space="preserve">   Δ working capital</t>
        </is>
      </c>
      <c r="D75" s="35">
        <f>-(D69-C69)*Assumptions!E$30</f>
        <v/>
      </c>
      <c r="E75" s="35">
        <f>-(E69-D69)*Assumptions!F$30</f>
        <v/>
      </c>
      <c r="F75" s="35">
        <f>-(F69-E69)*Assumptions!G$30</f>
        <v/>
      </c>
      <c r="G75" s="35">
        <f>-(G69-F69)*Assumptions!H$30</f>
        <v/>
      </c>
      <c r="H75" s="35">
        <f>-(H69-G69)*Assumptions!I$30</f>
        <v/>
      </c>
      <c r="I75" s="35">
        <f>-(I69-H69)*Assumptions!J$30</f>
        <v/>
      </c>
      <c r="J75" s="35">
        <f>-(J69-I69)*Assumptions!K$30</f>
        <v/>
      </c>
      <c r="K75" s="35">
        <f>-(K69-J69)*Assumptions!L$30</f>
        <v/>
      </c>
      <c r="L75" s="35">
        <f>-(L69-K69)*Assumptions!M$30</f>
        <v/>
      </c>
      <c r="M75" s="35">
        <f>-(M69-L69)*Assumptions!N$30</f>
        <v/>
      </c>
    </row>
    <row r="76">
      <c r="B76" s="88" t="inlineStr">
        <is>
          <t xml:space="preserve">   Unlevered FCF</t>
        </is>
      </c>
      <c r="D76" s="37">
        <f>D72+D73+D74+D75</f>
        <v/>
      </c>
      <c r="E76" s="37">
        <f>E72+E73+E74+E75</f>
        <v/>
      </c>
      <c r="F76" s="37">
        <f>F72+F73+F74+F75</f>
        <v/>
      </c>
      <c r="G76" s="37">
        <f>G72+G73+G74+G75</f>
        <v/>
      </c>
      <c r="H76" s="37">
        <f>H72+H73+H74+H75</f>
        <v/>
      </c>
      <c r="I76" s="37">
        <f>I72+I73+I74+I75</f>
        <v/>
      </c>
      <c r="J76" s="37">
        <f>J72+J73+J74+J75</f>
        <v/>
      </c>
      <c r="K76" s="37">
        <f>K72+K73+K74+K75</f>
        <v/>
      </c>
      <c r="L76" s="37">
        <f>L72+L73+L74+L75</f>
        <v/>
      </c>
      <c r="M76" s="37">
        <f>M72+M73+M74+M75</f>
        <v/>
      </c>
    </row>
    <row r="77">
      <c r="B77" s="88" t="inlineStr">
        <is>
          <t xml:space="preserve">   PV of FCF</t>
        </is>
      </c>
      <c r="D77" s="35">
        <f>D76*DCF!D$17/(1+$N$77)^DCF!D$18</f>
        <v/>
      </c>
      <c r="E77" s="35">
        <f>E76*DCF!E$17/(1+$N$77)^DCF!E$18</f>
        <v/>
      </c>
      <c r="F77" s="35">
        <f>F76*DCF!F$17/(1+$N$77)^DCF!F$18</f>
        <v/>
      </c>
      <c r="G77" s="35">
        <f>G76*DCF!G$17/(1+$N$77)^DCF!G$18</f>
        <v/>
      </c>
      <c r="H77" s="35">
        <f>H76*DCF!H$17/(1+$N$77)^DCF!H$18</f>
        <v/>
      </c>
      <c r="I77" s="35">
        <f>I76*DCF!I$17/(1+$N$77)^DCF!I$18</f>
        <v/>
      </c>
      <c r="J77" s="35">
        <f>J76*DCF!J$17/(1+$N$77)^DCF!J$18</f>
        <v/>
      </c>
      <c r="K77" s="35">
        <f>K76*DCF!K$17/(1+$N$77)^DCF!K$18</f>
        <v/>
      </c>
      <c r="L77" s="35">
        <f>L76*DCF!L$17/(1+$N$77)^DCF!L$18</f>
        <v/>
      </c>
      <c r="M77" s="35">
        <f>M76*DCF!M$17/(1+$N$77)^DCF!M$18</f>
        <v/>
      </c>
      <c r="N77" s="46">
        <f>DCF!$C$14+Assumptions!$D$76</f>
        <v/>
      </c>
    </row>
    <row r="78">
      <c r="N78" s="46">
        <f>Assumptions!$D$77</f>
        <v/>
      </c>
    </row>
    <row r="79">
      <c r="B79" s="87" t="inlineStr">
        <is>
          <t xml:space="preserve">   Base value per share</t>
        </is>
      </c>
      <c r="C79" s="63">
        <f>(SUM(D77:M77)+M76*(1+$N$78)/($N$77-$N$78)/(1+$N$77)^DCF!$M$18+DCF!$C$31-DCF!$C$32)/DCF!$C$34</f>
        <v/>
      </c>
    </row>
    <row r="80">
      <c r="B80" s="87" t="inlineStr">
        <is>
          <t>Bull · Software</t>
        </is>
      </c>
      <c r="C80" s="52">
        <f>Assumptions!$D$11</f>
        <v/>
      </c>
      <c r="D80" s="35">
        <f>C80*(1+Assumptions!E$5)</f>
        <v/>
      </c>
      <c r="E80" s="35">
        <f>D80*(1+(Assumptions!F$5+Assumptions!$E$74))</f>
        <v/>
      </c>
      <c r="F80" s="35">
        <f>E80*(1+(Assumptions!G$5+Assumptions!$E$74))</f>
        <v/>
      </c>
      <c r="G80" s="35">
        <f>F80*(1+(Assumptions!H$5+Assumptions!$E$74))</f>
        <v/>
      </c>
      <c r="H80" s="35">
        <f>G80*(1+(Assumptions!I$5+Assumptions!$E$74))</f>
        <v/>
      </c>
      <c r="I80" s="35">
        <f>H80*(1+(Assumptions!J$5+Assumptions!$E$74))</f>
        <v/>
      </c>
      <c r="J80" s="35">
        <f>I80*(1+(Assumptions!K$5+Assumptions!$E$74))</f>
        <v/>
      </c>
      <c r="K80" s="35">
        <f>J80*(1+(Assumptions!L$5+Assumptions!$E$74))</f>
        <v/>
      </c>
      <c r="L80" s="35">
        <f>K80*(1+(Assumptions!M$5+Assumptions!$E$74))</f>
        <v/>
      </c>
      <c r="M80" s="35">
        <f>L80*(1+(Assumptions!N$5+Assumptions!$E$74))</f>
        <v/>
      </c>
    </row>
    <row r="81">
      <c r="B81" s="88" t="inlineStr">
        <is>
          <t xml:space="preserve">   Consulting</t>
        </is>
      </c>
      <c r="C81" s="52">
        <f>Assumptions!$D$12</f>
        <v/>
      </c>
      <c r="D81" s="35">
        <f>C81*(1+Assumptions!E$6)</f>
        <v/>
      </c>
      <c r="E81" s="35">
        <f>D81*(1+(Assumptions!F$6+Assumptions!$E$74))</f>
        <v/>
      </c>
      <c r="F81" s="35">
        <f>E81*(1+(Assumptions!G$6+Assumptions!$E$74))</f>
        <v/>
      </c>
      <c r="G81" s="35">
        <f>F81*(1+(Assumptions!H$6+Assumptions!$E$74))</f>
        <v/>
      </c>
      <c r="H81" s="35">
        <f>G81*(1+(Assumptions!I$6+Assumptions!$E$74))</f>
        <v/>
      </c>
      <c r="I81" s="35">
        <f>H81*(1+(Assumptions!J$6+Assumptions!$E$74))</f>
        <v/>
      </c>
      <c r="J81" s="35">
        <f>I81*(1+(Assumptions!K$6+Assumptions!$E$74))</f>
        <v/>
      </c>
      <c r="K81" s="35">
        <f>J81*(1+(Assumptions!L$6+Assumptions!$E$74))</f>
        <v/>
      </c>
      <c r="L81" s="35">
        <f>K81*(1+(Assumptions!M$6+Assumptions!$E$74))</f>
        <v/>
      </c>
      <c r="M81" s="35">
        <f>L81*(1+(Assumptions!N$6+Assumptions!$E$74))</f>
        <v/>
      </c>
    </row>
    <row r="82">
      <c r="B82" s="88" t="inlineStr">
        <is>
          <t xml:space="preserve">   Infrastructure</t>
        </is>
      </c>
      <c r="C82" s="52">
        <f>Assumptions!$D$13</f>
        <v/>
      </c>
      <c r="D82" s="35">
        <f>C82*(1+Assumptions!E$7)</f>
        <v/>
      </c>
      <c r="E82" s="35">
        <f>D82*(1+(Assumptions!F$7+Assumptions!$E$74))</f>
        <v/>
      </c>
      <c r="F82" s="35">
        <f>E82*(1+(Assumptions!G$7+Assumptions!$E$74))</f>
        <v/>
      </c>
      <c r="G82" s="35">
        <f>F82*(1+(Assumptions!H$7+Assumptions!$E$74))</f>
        <v/>
      </c>
      <c r="H82" s="35">
        <f>G82*(1+(Assumptions!I$7+Assumptions!$E$74))</f>
        <v/>
      </c>
      <c r="I82" s="35">
        <f>H82*(1+(Assumptions!J$7+Assumptions!$E$74))</f>
        <v/>
      </c>
      <c r="J82" s="35">
        <f>I82*(1+(Assumptions!K$7+Assumptions!$E$74))</f>
        <v/>
      </c>
      <c r="K82" s="35">
        <f>J82*(1+(Assumptions!L$7+Assumptions!$E$74))</f>
        <v/>
      </c>
      <c r="L82" s="35">
        <f>K82*(1+(Assumptions!M$7+Assumptions!$E$74))</f>
        <v/>
      </c>
      <c r="M82" s="35">
        <f>L82*(1+(Assumptions!N$7+Assumptions!$E$74))</f>
        <v/>
      </c>
    </row>
    <row r="83">
      <c r="B83" s="88" t="inlineStr">
        <is>
          <t xml:space="preserve">   Financing</t>
        </is>
      </c>
      <c r="C83" s="52">
        <f>Assumptions!$D$14</f>
        <v/>
      </c>
      <c r="D83" s="35">
        <f>C83*(1+Assumptions!E$8)</f>
        <v/>
      </c>
      <c r="E83" s="35">
        <f>D83*(1+Assumptions!F$8)</f>
        <v/>
      </c>
      <c r="F83" s="35">
        <f>E83*(1+Assumptions!G$8)</f>
        <v/>
      </c>
      <c r="G83" s="35">
        <f>F83*(1+Assumptions!H$8)</f>
        <v/>
      </c>
      <c r="H83" s="35">
        <f>G83*(1+Assumptions!I$8)</f>
        <v/>
      </c>
      <c r="I83" s="35">
        <f>H83*(1+Assumptions!J$8)</f>
        <v/>
      </c>
      <c r="J83" s="35">
        <f>I83*(1+Assumptions!K$8)</f>
        <v/>
      </c>
      <c r="K83" s="35">
        <f>J83*(1+Assumptions!L$8)</f>
        <v/>
      </c>
      <c r="L83" s="35">
        <f>K83*(1+Assumptions!M$8)</f>
        <v/>
      </c>
      <c r="M83" s="35">
        <f>L83*(1+Assumptions!N$8)</f>
        <v/>
      </c>
    </row>
    <row r="84">
      <c r="B84" s="88" t="inlineStr">
        <is>
          <t xml:space="preserve">   Quantum revenue</t>
        </is>
      </c>
      <c r="C84" s="35">
        <f>0</f>
        <v/>
      </c>
      <c r="D84" s="35">
        <f>Assumptions!E$15*Assumptions!$E$78</f>
        <v/>
      </c>
      <c r="E84" s="35">
        <f>Assumptions!F$15*Assumptions!$E$78</f>
        <v/>
      </c>
      <c r="F84" s="35">
        <f>Assumptions!G$15*Assumptions!$E$78</f>
        <v/>
      </c>
      <c r="G84" s="35">
        <f>Assumptions!H$15*Assumptions!$E$78</f>
        <v/>
      </c>
      <c r="H84" s="35">
        <f>Assumptions!I$15*Assumptions!$E$78</f>
        <v/>
      </c>
      <c r="I84" s="35">
        <f>Assumptions!J$15*Assumptions!$E$78</f>
        <v/>
      </c>
      <c r="J84" s="35">
        <f>Assumptions!K$15*Assumptions!$E$78</f>
        <v/>
      </c>
      <c r="K84" s="35">
        <f>Assumptions!L$15*Assumptions!$E$78</f>
        <v/>
      </c>
      <c r="L84" s="35">
        <f>Assumptions!M$15*Assumptions!$E$78</f>
        <v/>
      </c>
      <c r="M84" s="35">
        <f>Assumptions!N$15*Assumptions!$E$78</f>
        <v/>
      </c>
    </row>
    <row r="85">
      <c r="B85" s="88" t="inlineStr">
        <is>
          <t xml:space="preserve">   Total revenue</t>
        </is>
      </c>
      <c r="C85" s="35">
        <f>SUM(C80:C84)</f>
        <v/>
      </c>
      <c r="D85" s="35">
        <f>SUM(D80:D84)</f>
        <v/>
      </c>
      <c r="E85" s="35">
        <f>SUM(E80:E84)</f>
        <v/>
      </c>
      <c r="F85" s="35">
        <f>SUM(F80:F84)</f>
        <v/>
      </c>
      <c r="G85" s="35">
        <f>SUM(G80:G84)</f>
        <v/>
      </c>
      <c r="H85" s="35">
        <f>SUM(H80:H84)</f>
        <v/>
      </c>
      <c r="I85" s="35">
        <f>SUM(I80:I84)</f>
        <v/>
      </c>
      <c r="J85" s="35">
        <f>SUM(J80:J84)</f>
        <v/>
      </c>
      <c r="K85" s="35">
        <f>SUM(K80:K84)</f>
        <v/>
      </c>
      <c r="L85" s="35">
        <f>SUM(L80:L84)</f>
        <v/>
      </c>
      <c r="M85" s="35">
        <f>SUM(M80:M84)</f>
        <v/>
      </c>
    </row>
    <row r="86">
      <c r="B86" s="88" t="inlineStr">
        <is>
          <t xml:space="preserve">   Segment profit (incl. quantum)</t>
        </is>
      </c>
      <c r="D86" s="35">
        <f>D80*(Assumptions!E$19)+D81*(Assumptions!E$20)+D82*(Assumptions!E$21)+D83*(Assumptions!E$22)+D84*Assumptions!E$23-Assumptions!E$24</f>
        <v/>
      </c>
      <c r="E86" s="35">
        <f>E80*(Assumptions!F$19+Assumptions!$E$75)+E81*(Assumptions!F$20+Assumptions!$E$75)+E82*(Assumptions!F$21+Assumptions!$E$75)+E83*(Assumptions!F$22)+E84*Assumptions!F$23-Assumptions!F$24</f>
        <v/>
      </c>
      <c r="F86" s="35">
        <f>F80*(Assumptions!G$19+Assumptions!$E$75)+F81*(Assumptions!G$20+Assumptions!$E$75)+F82*(Assumptions!G$21+Assumptions!$E$75)+F83*(Assumptions!G$22)+F84*Assumptions!G$23-Assumptions!G$24</f>
        <v/>
      </c>
      <c r="G86" s="35">
        <f>G80*(Assumptions!H$19+Assumptions!$E$75)+G81*(Assumptions!H$20+Assumptions!$E$75)+G82*(Assumptions!H$21+Assumptions!$E$75)+G83*(Assumptions!H$22)+G84*Assumptions!H$23-Assumptions!H$24</f>
        <v/>
      </c>
      <c r="H86" s="35">
        <f>H80*(Assumptions!I$19+Assumptions!$E$75)+H81*(Assumptions!I$20+Assumptions!$E$75)+H82*(Assumptions!I$21+Assumptions!$E$75)+H83*(Assumptions!I$22)+H84*Assumptions!I$23-Assumptions!I$24</f>
        <v/>
      </c>
      <c r="I86" s="35">
        <f>I80*(Assumptions!J$19+Assumptions!$E$75)+I81*(Assumptions!J$20+Assumptions!$E$75)+I82*(Assumptions!J$21+Assumptions!$E$75)+I83*(Assumptions!J$22)+I84*Assumptions!J$23-Assumptions!J$24</f>
        <v/>
      </c>
      <c r="J86" s="35">
        <f>J80*(Assumptions!K$19+Assumptions!$E$75)+J81*(Assumptions!K$20+Assumptions!$E$75)+J82*(Assumptions!K$21+Assumptions!$E$75)+J83*(Assumptions!K$22)+J84*Assumptions!K$23-Assumptions!K$24</f>
        <v/>
      </c>
      <c r="K86" s="35">
        <f>K80*(Assumptions!L$19+Assumptions!$E$75)+K81*(Assumptions!L$20+Assumptions!$E$75)+K82*(Assumptions!L$21+Assumptions!$E$75)+K83*(Assumptions!L$22)+K84*Assumptions!L$23-Assumptions!L$24</f>
        <v/>
      </c>
      <c r="L86" s="35">
        <f>L80*(Assumptions!M$19+Assumptions!$E$75)+L81*(Assumptions!M$20+Assumptions!$E$75)+L82*(Assumptions!M$21+Assumptions!$E$75)+L83*(Assumptions!M$22)+L84*Assumptions!M$23-Assumptions!M$24</f>
        <v/>
      </c>
      <c r="M86" s="35">
        <f>M80*(Assumptions!N$19+Assumptions!$E$75)+M81*(Assumptions!N$20+Assumptions!$E$75)+M82*(Assumptions!N$21+Assumptions!$E$75)+M83*(Assumptions!N$22)+M84*Assumptions!N$23-Assumptions!N$24</f>
        <v/>
      </c>
    </row>
    <row r="87">
      <c r="B87" s="88" t="inlineStr">
        <is>
          <t xml:space="preserve">   EBIT</t>
        </is>
      </c>
      <c r="D87" s="35">
        <f>D86-D85*Assumptions!E$25</f>
        <v/>
      </c>
      <c r="E87" s="35">
        <f>E86-E85*Assumptions!F$25</f>
        <v/>
      </c>
      <c r="F87" s="35">
        <f>F86-F85*Assumptions!G$25</f>
        <v/>
      </c>
      <c r="G87" s="35">
        <f>G86-G85*Assumptions!H$25</f>
        <v/>
      </c>
      <c r="H87" s="35">
        <f>H86-H85*Assumptions!I$25</f>
        <v/>
      </c>
      <c r="I87" s="35">
        <f>I86-I85*Assumptions!J$25</f>
        <v/>
      </c>
      <c r="J87" s="35">
        <f>J86-J85*Assumptions!K$25</f>
        <v/>
      </c>
      <c r="K87" s="35">
        <f>K86-K85*Assumptions!L$25</f>
        <v/>
      </c>
      <c r="L87" s="35">
        <f>L86-L85*Assumptions!M$25</f>
        <v/>
      </c>
      <c r="M87" s="35">
        <f>M86-M85*Assumptions!N$25</f>
        <v/>
      </c>
    </row>
    <row r="88">
      <c r="B88" s="88" t="inlineStr">
        <is>
          <t xml:space="preserve">   NOPAT</t>
        </is>
      </c>
      <c r="D88" s="35">
        <f>D87-MAX(0,D87)*Assumptions!E$31</f>
        <v/>
      </c>
      <c r="E88" s="35">
        <f>E87-MAX(0,E87)*Assumptions!F$31</f>
        <v/>
      </c>
      <c r="F88" s="35">
        <f>F87-MAX(0,F87)*Assumptions!G$31</f>
        <v/>
      </c>
      <c r="G88" s="35">
        <f>G87-MAX(0,G87)*Assumptions!H$31</f>
        <v/>
      </c>
      <c r="H88" s="35">
        <f>H87-MAX(0,H87)*Assumptions!I$31</f>
        <v/>
      </c>
      <c r="I88" s="35">
        <f>I87-MAX(0,I87)*Assumptions!J$31</f>
        <v/>
      </c>
      <c r="J88" s="35">
        <f>J87-MAX(0,J87)*Assumptions!K$31</f>
        <v/>
      </c>
      <c r="K88" s="35">
        <f>K87-MAX(0,K87)*Assumptions!L$31</f>
        <v/>
      </c>
      <c r="L88" s="35">
        <f>L87-MAX(0,L87)*Assumptions!M$31</f>
        <v/>
      </c>
      <c r="M88" s="35">
        <f>M87-MAX(0,M87)*Assumptions!N$31</f>
        <v/>
      </c>
    </row>
    <row r="89">
      <c r="B89" s="88" t="inlineStr">
        <is>
          <t xml:space="preserve">   D&amp;A</t>
        </is>
      </c>
      <c r="D89" s="35">
        <f>D85*Assumptions!E$27</f>
        <v/>
      </c>
      <c r="E89" s="35">
        <f>E85*Assumptions!F$27</f>
        <v/>
      </c>
      <c r="F89" s="35">
        <f>F85*Assumptions!G$27</f>
        <v/>
      </c>
      <c r="G89" s="35">
        <f>G85*Assumptions!H$27</f>
        <v/>
      </c>
      <c r="H89" s="35">
        <f>H85*Assumptions!I$27</f>
        <v/>
      </c>
      <c r="I89" s="35">
        <f>I85*Assumptions!J$27</f>
        <v/>
      </c>
      <c r="J89" s="35">
        <f>J85*Assumptions!K$27</f>
        <v/>
      </c>
      <c r="K89" s="35">
        <f>K85*Assumptions!L$27</f>
        <v/>
      </c>
      <c r="L89" s="35">
        <f>L85*Assumptions!M$27</f>
        <v/>
      </c>
      <c r="M89" s="35">
        <f>M85*Assumptions!N$27</f>
        <v/>
      </c>
    </row>
    <row r="90">
      <c r="B90" s="88" t="inlineStr">
        <is>
          <t xml:space="preserve">   Capex (core + quantum)</t>
        </is>
      </c>
      <c r="D90" s="35">
        <f>-D85*Assumptions!E$28-Assumptions!E$29</f>
        <v/>
      </c>
      <c r="E90" s="35">
        <f>-E85*Assumptions!F$28-Assumptions!F$29</f>
        <v/>
      </c>
      <c r="F90" s="35">
        <f>-F85*Assumptions!G$28-Assumptions!G$29</f>
        <v/>
      </c>
      <c r="G90" s="35">
        <f>-G85*Assumptions!H$28-Assumptions!H$29</f>
        <v/>
      </c>
      <c r="H90" s="35">
        <f>-H85*Assumptions!I$28-Assumptions!I$29</f>
        <v/>
      </c>
      <c r="I90" s="35">
        <f>-I85*Assumptions!J$28-Assumptions!J$29</f>
        <v/>
      </c>
      <c r="J90" s="35">
        <f>-J85*Assumptions!K$28-Assumptions!K$29</f>
        <v/>
      </c>
      <c r="K90" s="35">
        <f>-K85*Assumptions!L$28-Assumptions!L$29</f>
        <v/>
      </c>
      <c r="L90" s="35">
        <f>-L85*Assumptions!M$28-Assumptions!M$29</f>
        <v/>
      </c>
      <c r="M90" s="35">
        <f>-M85*Assumptions!N$28-Assumptions!N$29</f>
        <v/>
      </c>
    </row>
    <row r="91">
      <c r="B91" s="88" t="inlineStr">
        <is>
          <t xml:space="preserve">   Δ working capital</t>
        </is>
      </c>
      <c r="D91" s="35">
        <f>-(D85-C85)*Assumptions!E$30</f>
        <v/>
      </c>
      <c r="E91" s="35">
        <f>-(E85-D85)*Assumptions!F$30</f>
        <v/>
      </c>
      <c r="F91" s="35">
        <f>-(F85-E85)*Assumptions!G$30</f>
        <v/>
      </c>
      <c r="G91" s="35">
        <f>-(G85-F85)*Assumptions!H$30</f>
        <v/>
      </c>
      <c r="H91" s="35">
        <f>-(H85-G85)*Assumptions!I$30</f>
        <v/>
      </c>
      <c r="I91" s="35">
        <f>-(I85-H85)*Assumptions!J$30</f>
        <v/>
      </c>
      <c r="J91" s="35">
        <f>-(J85-I85)*Assumptions!K$30</f>
        <v/>
      </c>
      <c r="K91" s="35">
        <f>-(K85-J85)*Assumptions!L$30</f>
        <v/>
      </c>
      <c r="L91" s="35">
        <f>-(L85-K85)*Assumptions!M$30</f>
        <v/>
      </c>
      <c r="M91" s="35">
        <f>-(M85-L85)*Assumptions!N$30</f>
        <v/>
      </c>
    </row>
    <row r="92">
      <c r="B92" s="88" t="inlineStr">
        <is>
          <t xml:space="preserve">   Unlevered FCF</t>
        </is>
      </c>
      <c r="D92" s="37">
        <f>D88+D89+D90+D91</f>
        <v/>
      </c>
      <c r="E92" s="37">
        <f>E88+E89+E90+E91</f>
        <v/>
      </c>
      <c r="F92" s="37">
        <f>F88+F89+F90+F91</f>
        <v/>
      </c>
      <c r="G92" s="37">
        <f>G88+G89+G90+G91</f>
        <v/>
      </c>
      <c r="H92" s="37">
        <f>H88+H89+H90+H91</f>
        <v/>
      </c>
      <c r="I92" s="37">
        <f>I88+I89+I90+I91</f>
        <v/>
      </c>
      <c r="J92" s="37">
        <f>J88+J89+J90+J91</f>
        <v/>
      </c>
      <c r="K92" s="37">
        <f>K88+K89+K90+K91</f>
        <v/>
      </c>
      <c r="L92" s="37">
        <f>L88+L89+L90+L91</f>
        <v/>
      </c>
      <c r="M92" s="37">
        <f>M88+M89+M90+M91</f>
        <v/>
      </c>
    </row>
    <row r="93">
      <c r="B93" s="88" t="inlineStr">
        <is>
          <t xml:space="preserve">   PV of FCF</t>
        </is>
      </c>
      <c r="D93" s="35">
        <f>D92*DCF!D$17/(1+$N$93)^DCF!D$18</f>
        <v/>
      </c>
      <c r="E93" s="35">
        <f>E92*DCF!E$17/(1+$N$93)^DCF!E$18</f>
        <v/>
      </c>
      <c r="F93" s="35">
        <f>F92*DCF!F$17/(1+$N$93)^DCF!F$18</f>
        <v/>
      </c>
      <c r="G93" s="35">
        <f>G92*DCF!G$17/(1+$N$93)^DCF!G$18</f>
        <v/>
      </c>
      <c r="H93" s="35">
        <f>H92*DCF!H$17/(1+$N$93)^DCF!H$18</f>
        <v/>
      </c>
      <c r="I93" s="35">
        <f>I92*DCF!I$17/(1+$N$93)^DCF!I$18</f>
        <v/>
      </c>
      <c r="J93" s="35">
        <f>J92*DCF!J$17/(1+$N$93)^DCF!J$18</f>
        <v/>
      </c>
      <c r="K93" s="35">
        <f>K92*DCF!K$17/(1+$N$93)^DCF!K$18</f>
        <v/>
      </c>
      <c r="L93" s="35">
        <f>L92*DCF!L$17/(1+$N$93)^DCF!L$18</f>
        <v/>
      </c>
      <c r="M93" s="35">
        <f>M92*DCF!M$17/(1+$N$93)^DCF!M$18</f>
        <v/>
      </c>
      <c r="N93" s="46">
        <f>DCF!$C$14+Assumptions!$E$76</f>
        <v/>
      </c>
    </row>
    <row r="94">
      <c r="N94" s="46">
        <f>Assumptions!$E$77</f>
        <v/>
      </c>
    </row>
    <row r="95">
      <c r="B95" s="87" t="inlineStr">
        <is>
          <t xml:space="preserve">   Bull value per share</t>
        </is>
      </c>
      <c r="C95" s="63">
        <f>(SUM(D93:M93)+M92*(1+$N$94)/($N$93-$N$94)/(1+$N$93)^DCF!$M$18+DCF!$C$31-DCF!$C$32)/DCF!$C$34</f>
        <v/>
      </c>
    </row>
    <row r="96">
      <c r="B96" s="87" t="inlineStr">
        <is>
          <t>Q Stalls · Software</t>
        </is>
      </c>
      <c r="C96" s="52">
        <f>Assumptions!$D$11</f>
        <v/>
      </c>
      <c r="D96" s="35">
        <f>C96*(1+Assumptions!E$5)</f>
        <v/>
      </c>
      <c r="E96" s="35">
        <f>D96*(1+(Assumptions!F$5+Assumptions!$F$74))</f>
        <v/>
      </c>
      <c r="F96" s="35">
        <f>E96*(1+(Assumptions!G$5+Assumptions!$F$74))</f>
        <v/>
      </c>
      <c r="G96" s="35">
        <f>F96*(1+(Assumptions!H$5+Assumptions!$F$74))</f>
        <v/>
      </c>
      <c r="H96" s="35">
        <f>G96*(1+(Assumptions!I$5+Assumptions!$F$74))</f>
        <v/>
      </c>
      <c r="I96" s="35">
        <f>H96*(1+(Assumptions!J$5+Assumptions!$F$74))</f>
        <v/>
      </c>
      <c r="J96" s="35">
        <f>I96*(1+(Assumptions!K$5+Assumptions!$F$74))</f>
        <v/>
      </c>
      <c r="K96" s="35">
        <f>J96*(1+(Assumptions!L$5+Assumptions!$F$74))</f>
        <v/>
      </c>
      <c r="L96" s="35">
        <f>K96*(1+(Assumptions!M$5+Assumptions!$F$74))</f>
        <v/>
      </c>
      <c r="M96" s="35">
        <f>L96*(1+(Assumptions!N$5+Assumptions!$F$74))</f>
        <v/>
      </c>
    </row>
    <row r="97">
      <c r="B97" s="88" t="inlineStr">
        <is>
          <t xml:space="preserve">   Consulting</t>
        </is>
      </c>
      <c r="C97" s="52">
        <f>Assumptions!$D$12</f>
        <v/>
      </c>
      <c r="D97" s="35">
        <f>C97*(1+Assumptions!E$6)</f>
        <v/>
      </c>
      <c r="E97" s="35">
        <f>D97*(1+(Assumptions!F$6+Assumptions!$F$74))</f>
        <v/>
      </c>
      <c r="F97" s="35">
        <f>E97*(1+(Assumptions!G$6+Assumptions!$F$74))</f>
        <v/>
      </c>
      <c r="G97" s="35">
        <f>F97*(1+(Assumptions!H$6+Assumptions!$F$74))</f>
        <v/>
      </c>
      <c r="H97" s="35">
        <f>G97*(1+(Assumptions!I$6+Assumptions!$F$74))</f>
        <v/>
      </c>
      <c r="I97" s="35">
        <f>H97*(1+(Assumptions!J$6+Assumptions!$F$74))</f>
        <v/>
      </c>
      <c r="J97" s="35">
        <f>I97*(1+(Assumptions!K$6+Assumptions!$F$74))</f>
        <v/>
      </c>
      <c r="K97" s="35">
        <f>J97*(1+(Assumptions!L$6+Assumptions!$F$74))</f>
        <v/>
      </c>
      <c r="L97" s="35">
        <f>K97*(1+(Assumptions!M$6+Assumptions!$F$74))</f>
        <v/>
      </c>
      <c r="M97" s="35">
        <f>L97*(1+(Assumptions!N$6+Assumptions!$F$74))</f>
        <v/>
      </c>
    </row>
    <row r="98">
      <c r="B98" s="88" t="inlineStr">
        <is>
          <t xml:space="preserve">   Infrastructure</t>
        </is>
      </c>
      <c r="C98" s="52">
        <f>Assumptions!$D$13</f>
        <v/>
      </c>
      <c r="D98" s="35">
        <f>C98*(1+Assumptions!E$7)</f>
        <v/>
      </c>
      <c r="E98" s="35">
        <f>D98*(1+(Assumptions!F$7+Assumptions!$F$74))</f>
        <v/>
      </c>
      <c r="F98" s="35">
        <f>E98*(1+(Assumptions!G$7+Assumptions!$F$74))</f>
        <v/>
      </c>
      <c r="G98" s="35">
        <f>F98*(1+(Assumptions!H$7+Assumptions!$F$74))</f>
        <v/>
      </c>
      <c r="H98" s="35">
        <f>G98*(1+(Assumptions!I$7+Assumptions!$F$74))</f>
        <v/>
      </c>
      <c r="I98" s="35">
        <f>H98*(1+(Assumptions!J$7+Assumptions!$F$74))</f>
        <v/>
      </c>
      <c r="J98" s="35">
        <f>I98*(1+(Assumptions!K$7+Assumptions!$F$74))</f>
        <v/>
      </c>
      <c r="K98" s="35">
        <f>J98*(1+(Assumptions!L$7+Assumptions!$F$74))</f>
        <v/>
      </c>
      <c r="L98" s="35">
        <f>K98*(1+(Assumptions!M$7+Assumptions!$F$74))</f>
        <v/>
      </c>
      <c r="M98" s="35">
        <f>L98*(1+(Assumptions!N$7+Assumptions!$F$74))</f>
        <v/>
      </c>
    </row>
    <row r="99">
      <c r="B99" s="88" t="inlineStr">
        <is>
          <t xml:space="preserve">   Financing</t>
        </is>
      </c>
      <c r="C99" s="52">
        <f>Assumptions!$D$14</f>
        <v/>
      </c>
      <c r="D99" s="35">
        <f>C99*(1+Assumptions!E$8)</f>
        <v/>
      </c>
      <c r="E99" s="35">
        <f>D99*(1+Assumptions!F$8)</f>
        <v/>
      </c>
      <c r="F99" s="35">
        <f>E99*(1+Assumptions!G$8)</f>
        <v/>
      </c>
      <c r="G99" s="35">
        <f>F99*(1+Assumptions!H$8)</f>
        <v/>
      </c>
      <c r="H99" s="35">
        <f>G99*(1+Assumptions!I$8)</f>
        <v/>
      </c>
      <c r="I99" s="35">
        <f>H99*(1+Assumptions!J$8)</f>
        <v/>
      </c>
      <c r="J99" s="35">
        <f>I99*(1+Assumptions!K$8)</f>
        <v/>
      </c>
      <c r="K99" s="35">
        <f>J99*(1+Assumptions!L$8)</f>
        <v/>
      </c>
      <c r="L99" s="35">
        <f>K99*(1+Assumptions!M$8)</f>
        <v/>
      </c>
      <c r="M99" s="35">
        <f>L99*(1+Assumptions!N$8)</f>
        <v/>
      </c>
    </row>
    <row r="100">
      <c r="B100" s="88" t="inlineStr">
        <is>
          <t xml:space="preserve">   Quantum revenue</t>
        </is>
      </c>
      <c r="C100" s="35">
        <f>0</f>
        <v/>
      </c>
      <c r="D100" s="35">
        <f>Assumptions!E$15*Assumptions!$F$78</f>
        <v/>
      </c>
      <c r="E100" s="35">
        <f>Assumptions!F$15*Assumptions!$F$78</f>
        <v/>
      </c>
      <c r="F100" s="35">
        <f>Assumptions!G$15*Assumptions!$F$78</f>
        <v/>
      </c>
      <c r="G100" s="35">
        <f>Assumptions!H$15*Assumptions!$F$78</f>
        <v/>
      </c>
      <c r="H100" s="35">
        <f>Assumptions!I$15*Assumptions!$F$78</f>
        <v/>
      </c>
      <c r="I100" s="35">
        <f>Assumptions!J$15*Assumptions!$F$78</f>
        <v/>
      </c>
      <c r="J100" s="35">
        <f>Assumptions!K$15*Assumptions!$F$78</f>
        <v/>
      </c>
      <c r="K100" s="35">
        <f>Assumptions!L$15*Assumptions!$F$78</f>
        <v/>
      </c>
      <c r="L100" s="35">
        <f>Assumptions!M$15*Assumptions!$F$78</f>
        <v/>
      </c>
      <c r="M100" s="35">
        <f>Assumptions!N$15*Assumptions!$F$78</f>
        <v/>
      </c>
    </row>
    <row r="101">
      <c r="B101" s="88" t="inlineStr">
        <is>
          <t xml:space="preserve">   Total revenue</t>
        </is>
      </c>
      <c r="C101" s="35">
        <f>SUM(C96:C100)</f>
        <v/>
      </c>
      <c r="D101" s="35">
        <f>SUM(D96:D100)</f>
        <v/>
      </c>
      <c r="E101" s="35">
        <f>SUM(E96:E100)</f>
        <v/>
      </c>
      <c r="F101" s="35">
        <f>SUM(F96:F100)</f>
        <v/>
      </c>
      <c r="G101" s="35">
        <f>SUM(G96:G100)</f>
        <v/>
      </c>
      <c r="H101" s="35">
        <f>SUM(H96:H100)</f>
        <v/>
      </c>
      <c r="I101" s="35">
        <f>SUM(I96:I100)</f>
        <v/>
      </c>
      <c r="J101" s="35">
        <f>SUM(J96:J100)</f>
        <v/>
      </c>
      <c r="K101" s="35">
        <f>SUM(K96:K100)</f>
        <v/>
      </c>
      <c r="L101" s="35">
        <f>SUM(L96:L100)</f>
        <v/>
      </c>
      <c r="M101" s="35">
        <f>SUM(M96:M100)</f>
        <v/>
      </c>
    </row>
    <row r="102">
      <c r="B102" s="88" t="inlineStr">
        <is>
          <t xml:space="preserve">   Segment profit (incl. quantum)</t>
        </is>
      </c>
      <c r="D102" s="35">
        <f>D96*(Assumptions!E$19)+D97*(Assumptions!E$20)+D98*(Assumptions!E$21)+D99*(Assumptions!E$22)+D100*Assumptions!E$23-Assumptions!E$24</f>
        <v/>
      </c>
      <c r="E102" s="35">
        <f>E96*(Assumptions!F$19+Assumptions!$F$75)+E97*(Assumptions!F$20+Assumptions!$F$75)+E98*(Assumptions!F$21+Assumptions!$F$75)+E99*(Assumptions!F$22)+E100*Assumptions!F$23-Assumptions!F$24</f>
        <v/>
      </c>
      <c r="F102" s="35">
        <f>F96*(Assumptions!G$19+Assumptions!$F$75)+F97*(Assumptions!G$20+Assumptions!$F$75)+F98*(Assumptions!G$21+Assumptions!$F$75)+F99*(Assumptions!G$22)+F100*Assumptions!G$23-Assumptions!G$24</f>
        <v/>
      </c>
      <c r="G102" s="35">
        <f>G96*(Assumptions!H$19+Assumptions!$F$75)+G97*(Assumptions!H$20+Assumptions!$F$75)+G98*(Assumptions!H$21+Assumptions!$F$75)+G99*(Assumptions!H$22)+G100*Assumptions!H$23-Assumptions!H$24</f>
        <v/>
      </c>
      <c r="H102" s="35">
        <f>H96*(Assumptions!I$19+Assumptions!$F$75)+H97*(Assumptions!I$20+Assumptions!$F$75)+H98*(Assumptions!I$21+Assumptions!$F$75)+H99*(Assumptions!I$22)+H100*Assumptions!I$23-Assumptions!I$24</f>
        <v/>
      </c>
      <c r="I102" s="35">
        <f>I96*(Assumptions!J$19+Assumptions!$F$75)+I97*(Assumptions!J$20+Assumptions!$F$75)+I98*(Assumptions!J$21+Assumptions!$F$75)+I99*(Assumptions!J$22)+I100*Assumptions!J$23-Assumptions!J$24</f>
        <v/>
      </c>
      <c r="J102" s="35">
        <f>J96*(Assumptions!K$19+Assumptions!$F$75)+J97*(Assumptions!K$20+Assumptions!$F$75)+J98*(Assumptions!K$21+Assumptions!$F$75)+J99*(Assumptions!K$22)+J100*Assumptions!K$23-Assumptions!K$24</f>
        <v/>
      </c>
      <c r="K102" s="35">
        <f>K96*(Assumptions!L$19+Assumptions!$F$75)+K97*(Assumptions!L$20+Assumptions!$F$75)+K98*(Assumptions!L$21+Assumptions!$F$75)+K99*(Assumptions!L$22)+K100*Assumptions!L$23-Assumptions!L$24</f>
        <v/>
      </c>
      <c r="L102" s="35">
        <f>L96*(Assumptions!M$19+Assumptions!$F$75)+L97*(Assumptions!M$20+Assumptions!$F$75)+L98*(Assumptions!M$21+Assumptions!$F$75)+L99*(Assumptions!M$22)+L100*Assumptions!M$23-Assumptions!M$24</f>
        <v/>
      </c>
      <c r="M102" s="35">
        <f>M96*(Assumptions!N$19+Assumptions!$F$75)+M97*(Assumptions!N$20+Assumptions!$F$75)+M98*(Assumptions!N$21+Assumptions!$F$75)+M99*(Assumptions!N$22)+M100*Assumptions!N$23-Assumptions!N$24</f>
        <v/>
      </c>
    </row>
    <row r="103">
      <c r="B103" s="88" t="inlineStr">
        <is>
          <t xml:space="preserve">   EBIT</t>
        </is>
      </c>
      <c r="D103" s="35">
        <f>D102-D101*Assumptions!E$25</f>
        <v/>
      </c>
      <c r="E103" s="35">
        <f>E102-E101*Assumptions!F$25</f>
        <v/>
      </c>
      <c r="F103" s="35">
        <f>F102-F101*Assumptions!G$25</f>
        <v/>
      </c>
      <c r="G103" s="35">
        <f>G102-G101*Assumptions!H$25</f>
        <v/>
      </c>
      <c r="H103" s="35">
        <f>H102-H101*Assumptions!I$25</f>
        <v/>
      </c>
      <c r="I103" s="35">
        <f>I102-I101*Assumptions!J$25</f>
        <v/>
      </c>
      <c r="J103" s="35">
        <f>J102-J101*Assumptions!K$25</f>
        <v/>
      </c>
      <c r="K103" s="35">
        <f>K102-K101*Assumptions!L$25</f>
        <v/>
      </c>
      <c r="L103" s="35">
        <f>L102-L101*Assumptions!M$25</f>
        <v/>
      </c>
      <c r="M103" s="35">
        <f>M102-M101*Assumptions!N$25</f>
        <v/>
      </c>
    </row>
    <row r="104">
      <c r="B104" s="88" t="inlineStr">
        <is>
          <t xml:space="preserve">   NOPAT</t>
        </is>
      </c>
      <c r="D104" s="35">
        <f>D103-MAX(0,D103)*Assumptions!E$31</f>
        <v/>
      </c>
      <c r="E104" s="35">
        <f>E103-MAX(0,E103)*Assumptions!F$31</f>
        <v/>
      </c>
      <c r="F104" s="35">
        <f>F103-MAX(0,F103)*Assumptions!G$31</f>
        <v/>
      </c>
      <c r="G104" s="35">
        <f>G103-MAX(0,G103)*Assumptions!H$31</f>
        <v/>
      </c>
      <c r="H104" s="35">
        <f>H103-MAX(0,H103)*Assumptions!I$31</f>
        <v/>
      </c>
      <c r="I104" s="35">
        <f>I103-MAX(0,I103)*Assumptions!J$31</f>
        <v/>
      </c>
      <c r="J104" s="35">
        <f>J103-MAX(0,J103)*Assumptions!K$31</f>
        <v/>
      </c>
      <c r="K104" s="35">
        <f>K103-MAX(0,K103)*Assumptions!L$31</f>
        <v/>
      </c>
      <c r="L104" s="35">
        <f>L103-MAX(0,L103)*Assumptions!M$31</f>
        <v/>
      </c>
      <c r="M104" s="35">
        <f>M103-MAX(0,M103)*Assumptions!N$31</f>
        <v/>
      </c>
    </row>
    <row r="105">
      <c r="B105" s="88" t="inlineStr">
        <is>
          <t xml:space="preserve">   D&amp;A</t>
        </is>
      </c>
      <c r="D105" s="35">
        <f>D101*Assumptions!E$27</f>
        <v/>
      </c>
      <c r="E105" s="35">
        <f>E101*Assumptions!F$27</f>
        <v/>
      </c>
      <c r="F105" s="35">
        <f>F101*Assumptions!G$27</f>
        <v/>
      </c>
      <c r="G105" s="35">
        <f>G101*Assumptions!H$27</f>
        <v/>
      </c>
      <c r="H105" s="35">
        <f>H101*Assumptions!I$27</f>
        <v/>
      </c>
      <c r="I105" s="35">
        <f>I101*Assumptions!J$27</f>
        <v/>
      </c>
      <c r="J105" s="35">
        <f>J101*Assumptions!K$27</f>
        <v/>
      </c>
      <c r="K105" s="35">
        <f>K101*Assumptions!L$27</f>
        <v/>
      </c>
      <c r="L105" s="35">
        <f>L101*Assumptions!M$27</f>
        <v/>
      </c>
      <c r="M105" s="35">
        <f>M101*Assumptions!N$27</f>
        <v/>
      </c>
    </row>
    <row r="106">
      <c r="B106" s="88" t="inlineStr">
        <is>
          <t xml:space="preserve">   Capex (core + quantum)</t>
        </is>
      </c>
      <c r="D106" s="35">
        <f>-D101*Assumptions!E$28-Assumptions!E$29</f>
        <v/>
      </c>
      <c r="E106" s="35">
        <f>-E101*Assumptions!F$28-Assumptions!F$29</f>
        <v/>
      </c>
      <c r="F106" s="35">
        <f>-F101*Assumptions!G$28-Assumptions!G$29</f>
        <v/>
      </c>
      <c r="G106" s="35">
        <f>-G101*Assumptions!H$28-Assumptions!H$29</f>
        <v/>
      </c>
      <c r="H106" s="35">
        <f>-H101*Assumptions!I$28-Assumptions!I$29</f>
        <v/>
      </c>
      <c r="I106" s="35">
        <f>-I101*Assumptions!J$28-Assumptions!J$29</f>
        <v/>
      </c>
      <c r="J106" s="35">
        <f>-J101*Assumptions!K$28-Assumptions!K$29</f>
        <v/>
      </c>
      <c r="K106" s="35">
        <f>-K101*Assumptions!L$28-Assumptions!L$29</f>
        <v/>
      </c>
      <c r="L106" s="35">
        <f>-L101*Assumptions!M$28-Assumptions!M$29</f>
        <v/>
      </c>
      <c r="M106" s="35">
        <f>-M101*Assumptions!N$28-Assumptions!N$29</f>
        <v/>
      </c>
    </row>
    <row r="107">
      <c r="B107" s="88" t="inlineStr">
        <is>
          <t xml:space="preserve">   Δ working capital</t>
        </is>
      </c>
      <c r="D107" s="35">
        <f>-(D101-C101)*Assumptions!E$30</f>
        <v/>
      </c>
      <c r="E107" s="35">
        <f>-(E101-D101)*Assumptions!F$30</f>
        <v/>
      </c>
      <c r="F107" s="35">
        <f>-(F101-E101)*Assumptions!G$30</f>
        <v/>
      </c>
      <c r="G107" s="35">
        <f>-(G101-F101)*Assumptions!H$30</f>
        <v/>
      </c>
      <c r="H107" s="35">
        <f>-(H101-G101)*Assumptions!I$30</f>
        <v/>
      </c>
      <c r="I107" s="35">
        <f>-(I101-H101)*Assumptions!J$30</f>
        <v/>
      </c>
      <c r="J107" s="35">
        <f>-(J101-I101)*Assumptions!K$30</f>
        <v/>
      </c>
      <c r="K107" s="35">
        <f>-(K101-J101)*Assumptions!L$30</f>
        <v/>
      </c>
      <c r="L107" s="35">
        <f>-(L101-K101)*Assumptions!M$30</f>
        <v/>
      </c>
      <c r="M107" s="35">
        <f>-(M101-L101)*Assumptions!N$30</f>
        <v/>
      </c>
    </row>
    <row r="108">
      <c r="B108" s="88" t="inlineStr">
        <is>
          <t xml:space="preserve">   Unlevered FCF</t>
        </is>
      </c>
      <c r="D108" s="37">
        <f>D104+D105+D106+D107</f>
        <v/>
      </c>
      <c r="E108" s="37">
        <f>E104+E105+E106+E107</f>
        <v/>
      </c>
      <c r="F108" s="37">
        <f>F104+F105+F106+F107</f>
        <v/>
      </c>
      <c r="G108" s="37">
        <f>G104+G105+G106+G107</f>
        <v/>
      </c>
      <c r="H108" s="37">
        <f>H104+H105+H106+H107</f>
        <v/>
      </c>
      <c r="I108" s="37">
        <f>I104+I105+I106+I107</f>
        <v/>
      </c>
      <c r="J108" s="37">
        <f>J104+J105+J106+J107</f>
        <v/>
      </c>
      <c r="K108" s="37">
        <f>K104+K105+K106+K107</f>
        <v/>
      </c>
      <c r="L108" s="37">
        <f>L104+L105+L106+L107</f>
        <v/>
      </c>
      <c r="M108" s="37">
        <f>M104+M105+M106+M107</f>
        <v/>
      </c>
    </row>
    <row r="109">
      <c r="B109" s="88" t="inlineStr">
        <is>
          <t xml:space="preserve">   PV of FCF</t>
        </is>
      </c>
      <c r="D109" s="35">
        <f>D108*DCF!D$17/(1+$N$109)^DCF!D$18</f>
        <v/>
      </c>
      <c r="E109" s="35">
        <f>E108*DCF!E$17/(1+$N$109)^DCF!E$18</f>
        <v/>
      </c>
      <c r="F109" s="35">
        <f>F108*DCF!F$17/(1+$N$109)^DCF!F$18</f>
        <v/>
      </c>
      <c r="G109" s="35">
        <f>G108*DCF!G$17/(1+$N$109)^DCF!G$18</f>
        <v/>
      </c>
      <c r="H109" s="35">
        <f>H108*DCF!H$17/(1+$N$109)^DCF!H$18</f>
        <v/>
      </c>
      <c r="I109" s="35">
        <f>I108*DCF!I$17/(1+$N$109)^DCF!I$18</f>
        <v/>
      </c>
      <c r="J109" s="35">
        <f>J108*DCF!J$17/(1+$N$109)^DCF!J$18</f>
        <v/>
      </c>
      <c r="K109" s="35">
        <f>K108*DCF!K$17/(1+$N$109)^DCF!K$18</f>
        <v/>
      </c>
      <c r="L109" s="35">
        <f>L108*DCF!L$17/(1+$N$109)^DCF!L$18</f>
        <v/>
      </c>
      <c r="M109" s="35">
        <f>M108*DCF!M$17/(1+$N$109)^DCF!M$18</f>
        <v/>
      </c>
      <c r="N109" s="46">
        <f>DCF!$C$14+Assumptions!$F$76</f>
        <v/>
      </c>
    </row>
    <row r="110">
      <c r="N110" s="46">
        <f>Assumptions!$F$77</f>
        <v/>
      </c>
    </row>
    <row r="111">
      <c r="B111" s="87" t="inlineStr">
        <is>
          <t xml:space="preserve">   Q Stalls value per share</t>
        </is>
      </c>
      <c r="C111" s="63">
        <f>(SUM(D109:M109)+M108*(1+$N$110)/($N$109-$N$110)/(1+$N$109)^DCF!$M$18+DCF!$C$31-DCF!$C$32)/DCF!$C$34</f>
        <v/>
      </c>
    </row>
    <row r="112">
      <c r="B112" s="87" t="inlineStr">
        <is>
          <t>Q Base · Software</t>
        </is>
      </c>
      <c r="C112" s="52">
        <f>Assumptions!$D$11</f>
        <v/>
      </c>
      <c r="D112" s="35">
        <f>C112*(1+Assumptions!E$5)</f>
        <v/>
      </c>
      <c r="E112" s="35">
        <f>D112*(1+(Assumptions!F$5+Assumptions!$G$74))</f>
        <v/>
      </c>
      <c r="F112" s="35">
        <f>E112*(1+(Assumptions!G$5+Assumptions!$G$74))</f>
        <v/>
      </c>
      <c r="G112" s="35">
        <f>F112*(1+(Assumptions!H$5+Assumptions!$G$74))</f>
        <v/>
      </c>
      <c r="H112" s="35">
        <f>G112*(1+(Assumptions!I$5+Assumptions!$G$74))</f>
        <v/>
      </c>
      <c r="I112" s="35">
        <f>H112*(1+(Assumptions!J$5+Assumptions!$G$74))</f>
        <v/>
      </c>
      <c r="J112" s="35">
        <f>I112*(1+(Assumptions!K$5+Assumptions!$G$74))</f>
        <v/>
      </c>
      <c r="K112" s="35">
        <f>J112*(1+(Assumptions!L$5+Assumptions!$G$74))</f>
        <v/>
      </c>
      <c r="L112" s="35">
        <f>K112*(1+(Assumptions!M$5+Assumptions!$G$74))</f>
        <v/>
      </c>
      <c r="M112" s="35">
        <f>L112*(1+(Assumptions!N$5+Assumptions!$G$74))</f>
        <v/>
      </c>
    </row>
    <row r="113">
      <c r="B113" s="88" t="inlineStr">
        <is>
          <t xml:space="preserve">   Consulting</t>
        </is>
      </c>
      <c r="C113" s="52">
        <f>Assumptions!$D$12</f>
        <v/>
      </c>
      <c r="D113" s="35">
        <f>C113*(1+Assumptions!E$6)</f>
        <v/>
      </c>
      <c r="E113" s="35">
        <f>D113*(1+(Assumptions!F$6+Assumptions!$G$74))</f>
        <v/>
      </c>
      <c r="F113" s="35">
        <f>E113*(1+(Assumptions!G$6+Assumptions!$G$74))</f>
        <v/>
      </c>
      <c r="G113" s="35">
        <f>F113*(1+(Assumptions!H$6+Assumptions!$G$74))</f>
        <v/>
      </c>
      <c r="H113" s="35">
        <f>G113*(1+(Assumptions!I$6+Assumptions!$G$74))</f>
        <v/>
      </c>
      <c r="I113" s="35">
        <f>H113*(1+(Assumptions!J$6+Assumptions!$G$74))</f>
        <v/>
      </c>
      <c r="J113" s="35">
        <f>I113*(1+(Assumptions!K$6+Assumptions!$G$74))</f>
        <v/>
      </c>
      <c r="K113" s="35">
        <f>J113*(1+(Assumptions!L$6+Assumptions!$G$74))</f>
        <v/>
      </c>
      <c r="L113" s="35">
        <f>K113*(1+(Assumptions!M$6+Assumptions!$G$74))</f>
        <v/>
      </c>
      <c r="M113" s="35">
        <f>L113*(1+(Assumptions!N$6+Assumptions!$G$74))</f>
        <v/>
      </c>
    </row>
    <row r="114">
      <c r="B114" s="88" t="inlineStr">
        <is>
          <t xml:space="preserve">   Infrastructure</t>
        </is>
      </c>
      <c r="C114" s="52">
        <f>Assumptions!$D$13</f>
        <v/>
      </c>
      <c r="D114" s="35">
        <f>C114*(1+Assumptions!E$7)</f>
        <v/>
      </c>
      <c r="E114" s="35">
        <f>D114*(1+(Assumptions!F$7+Assumptions!$G$74))</f>
        <v/>
      </c>
      <c r="F114" s="35">
        <f>E114*(1+(Assumptions!G$7+Assumptions!$G$74))</f>
        <v/>
      </c>
      <c r="G114" s="35">
        <f>F114*(1+(Assumptions!H$7+Assumptions!$G$74))</f>
        <v/>
      </c>
      <c r="H114" s="35">
        <f>G114*(1+(Assumptions!I$7+Assumptions!$G$74))</f>
        <v/>
      </c>
      <c r="I114" s="35">
        <f>H114*(1+(Assumptions!J$7+Assumptions!$G$74))</f>
        <v/>
      </c>
      <c r="J114" s="35">
        <f>I114*(1+(Assumptions!K$7+Assumptions!$G$74))</f>
        <v/>
      </c>
      <c r="K114" s="35">
        <f>J114*(1+(Assumptions!L$7+Assumptions!$G$74))</f>
        <v/>
      </c>
      <c r="L114" s="35">
        <f>K114*(1+(Assumptions!M$7+Assumptions!$G$74))</f>
        <v/>
      </c>
      <c r="M114" s="35">
        <f>L114*(1+(Assumptions!N$7+Assumptions!$G$74))</f>
        <v/>
      </c>
    </row>
    <row r="115">
      <c r="B115" s="88" t="inlineStr">
        <is>
          <t xml:space="preserve">   Financing</t>
        </is>
      </c>
      <c r="C115" s="52">
        <f>Assumptions!$D$14</f>
        <v/>
      </c>
      <c r="D115" s="35">
        <f>C115*(1+Assumptions!E$8)</f>
        <v/>
      </c>
      <c r="E115" s="35">
        <f>D115*(1+Assumptions!F$8)</f>
        <v/>
      </c>
      <c r="F115" s="35">
        <f>E115*(1+Assumptions!G$8)</f>
        <v/>
      </c>
      <c r="G115" s="35">
        <f>F115*(1+Assumptions!H$8)</f>
        <v/>
      </c>
      <c r="H115" s="35">
        <f>G115*(1+Assumptions!I$8)</f>
        <v/>
      </c>
      <c r="I115" s="35">
        <f>H115*(1+Assumptions!J$8)</f>
        <v/>
      </c>
      <c r="J115" s="35">
        <f>I115*(1+Assumptions!K$8)</f>
        <v/>
      </c>
      <c r="K115" s="35">
        <f>J115*(1+Assumptions!L$8)</f>
        <v/>
      </c>
      <c r="L115" s="35">
        <f>K115*(1+Assumptions!M$8)</f>
        <v/>
      </c>
      <c r="M115" s="35">
        <f>L115*(1+Assumptions!N$8)</f>
        <v/>
      </c>
    </row>
    <row r="116">
      <c r="B116" s="88" t="inlineStr">
        <is>
          <t xml:space="preserve">   Quantum revenue</t>
        </is>
      </c>
      <c r="C116" s="35">
        <f>0</f>
        <v/>
      </c>
      <c r="D116" s="35">
        <f>Assumptions!E$15*Assumptions!$G$78</f>
        <v/>
      </c>
      <c r="E116" s="35">
        <f>Assumptions!F$15*Assumptions!$G$78</f>
        <v/>
      </c>
      <c r="F116" s="35">
        <f>Assumptions!G$15*Assumptions!$G$78</f>
        <v/>
      </c>
      <c r="G116" s="35">
        <f>Assumptions!H$15*Assumptions!$G$78</f>
        <v/>
      </c>
      <c r="H116" s="35">
        <f>Assumptions!I$15*Assumptions!$G$78</f>
        <v/>
      </c>
      <c r="I116" s="35">
        <f>Assumptions!J$15*Assumptions!$G$78</f>
        <v/>
      </c>
      <c r="J116" s="35">
        <f>Assumptions!K$15*Assumptions!$G$78</f>
        <v/>
      </c>
      <c r="K116" s="35">
        <f>Assumptions!L$15*Assumptions!$G$78</f>
        <v/>
      </c>
      <c r="L116" s="35">
        <f>Assumptions!M$15*Assumptions!$G$78</f>
        <v/>
      </c>
      <c r="M116" s="35">
        <f>Assumptions!N$15*Assumptions!$G$78</f>
        <v/>
      </c>
    </row>
    <row r="117">
      <c r="B117" s="88" t="inlineStr">
        <is>
          <t xml:space="preserve">   Total revenue</t>
        </is>
      </c>
      <c r="C117" s="35">
        <f>SUM(C112:C116)</f>
        <v/>
      </c>
      <c r="D117" s="35">
        <f>SUM(D112:D116)</f>
        <v/>
      </c>
      <c r="E117" s="35">
        <f>SUM(E112:E116)</f>
        <v/>
      </c>
      <c r="F117" s="35">
        <f>SUM(F112:F116)</f>
        <v/>
      </c>
      <c r="G117" s="35">
        <f>SUM(G112:G116)</f>
        <v/>
      </c>
      <c r="H117" s="35">
        <f>SUM(H112:H116)</f>
        <v/>
      </c>
      <c r="I117" s="35">
        <f>SUM(I112:I116)</f>
        <v/>
      </c>
      <c r="J117" s="35">
        <f>SUM(J112:J116)</f>
        <v/>
      </c>
      <c r="K117" s="35">
        <f>SUM(K112:K116)</f>
        <v/>
      </c>
      <c r="L117" s="35">
        <f>SUM(L112:L116)</f>
        <v/>
      </c>
      <c r="M117" s="35">
        <f>SUM(M112:M116)</f>
        <v/>
      </c>
    </row>
    <row r="118">
      <c r="B118" s="88" t="inlineStr">
        <is>
          <t xml:space="preserve">   Segment profit (incl. quantum)</t>
        </is>
      </c>
      <c r="D118" s="35">
        <f>D112*(Assumptions!E$19)+D113*(Assumptions!E$20)+D114*(Assumptions!E$21)+D115*(Assumptions!E$22)+D116*Assumptions!E$23-Assumptions!E$24</f>
        <v/>
      </c>
      <c r="E118" s="35">
        <f>E112*(Assumptions!F$19+Assumptions!$G$75)+E113*(Assumptions!F$20+Assumptions!$G$75)+E114*(Assumptions!F$21+Assumptions!$G$75)+E115*(Assumptions!F$22)+E116*Assumptions!F$23-Assumptions!F$24</f>
        <v/>
      </c>
      <c r="F118" s="35">
        <f>F112*(Assumptions!G$19+Assumptions!$G$75)+F113*(Assumptions!G$20+Assumptions!$G$75)+F114*(Assumptions!G$21+Assumptions!$G$75)+F115*(Assumptions!G$22)+F116*Assumptions!G$23-Assumptions!G$24</f>
        <v/>
      </c>
      <c r="G118" s="35">
        <f>G112*(Assumptions!H$19+Assumptions!$G$75)+G113*(Assumptions!H$20+Assumptions!$G$75)+G114*(Assumptions!H$21+Assumptions!$G$75)+G115*(Assumptions!H$22)+G116*Assumptions!H$23-Assumptions!H$24</f>
        <v/>
      </c>
      <c r="H118" s="35">
        <f>H112*(Assumptions!I$19+Assumptions!$G$75)+H113*(Assumptions!I$20+Assumptions!$G$75)+H114*(Assumptions!I$21+Assumptions!$G$75)+H115*(Assumptions!I$22)+H116*Assumptions!I$23-Assumptions!I$24</f>
        <v/>
      </c>
      <c r="I118" s="35">
        <f>I112*(Assumptions!J$19+Assumptions!$G$75)+I113*(Assumptions!J$20+Assumptions!$G$75)+I114*(Assumptions!J$21+Assumptions!$G$75)+I115*(Assumptions!J$22)+I116*Assumptions!J$23-Assumptions!J$24</f>
        <v/>
      </c>
      <c r="J118" s="35">
        <f>J112*(Assumptions!K$19+Assumptions!$G$75)+J113*(Assumptions!K$20+Assumptions!$G$75)+J114*(Assumptions!K$21+Assumptions!$G$75)+J115*(Assumptions!K$22)+J116*Assumptions!K$23-Assumptions!K$24</f>
        <v/>
      </c>
      <c r="K118" s="35">
        <f>K112*(Assumptions!L$19+Assumptions!$G$75)+K113*(Assumptions!L$20+Assumptions!$G$75)+K114*(Assumptions!L$21+Assumptions!$G$75)+K115*(Assumptions!L$22)+K116*Assumptions!L$23-Assumptions!L$24</f>
        <v/>
      </c>
      <c r="L118" s="35">
        <f>L112*(Assumptions!M$19+Assumptions!$G$75)+L113*(Assumptions!M$20+Assumptions!$G$75)+L114*(Assumptions!M$21+Assumptions!$G$75)+L115*(Assumptions!M$22)+L116*Assumptions!M$23-Assumptions!M$24</f>
        <v/>
      </c>
      <c r="M118" s="35">
        <f>M112*(Assumptions!N$19+Assumptions!$G$75)+M113*(Assumptions!N$20+Assumptions!$G$75)+M114*(Assumptions!N$21+Assumptions!$G$75)+M115*(Assumptions!N$22)+M116*Assumptions!N$23-Assumptions!N$24</f>
        <v/>
      </c>
    </row>
    <row r="119">
      <c r="B119" s="88" t="inlineStr">
        <is>
          <t xml:space="preserve">   EBIT</t>
        </is>
      </c>
      <c r="D119" s="35">
        <f>D118-D117*Assumptions!E$25</f>
        <v/>
      </c>
      <c r="E119" s="35">
        <f>E118-E117*Assumptions!F$25</f>
        <v/>
      </c>
      <c r="F119" s="35">
        <f>F118-F117*Assumptions!G$25</f>
        <v/>
      </c>
      <c r="G119" s="35">
        <f>G118-G117*Assumptions!H$25</f>
        <v/>
      </c>
      <c r="H119" s="35">
        <f>H118-H117*Assumptions!I$25</f>
        <v/>
      </c>
      <c r="I119" s="35">
        <f>I118-I117*Assumptions!J$25</f>
        <v/>
      </c>
      <c r="J119" s="35">
        <f>J118-J117*Assumptions!K$25</f>
        <v/>
      </c>
      <c r="K119" s="35">
        <f>K118-K117*Assumptions!L$25</f>
        <v/>
      </c>
      <c r="L119" s="35">
        <f>L118-L117*Assumptions!M$25</f>
        <v/>
      </c>
      <c r="M119" s="35">
        <f>M118-M117*Assumptions!N$25</f>
        <v/>
      </c>
    </row>
    <row r="120">
      <c r="B120" s="88" t="inlineStr">
        <is>
          <t xml:space="preserve">   NOPAT</t>
        </is>
      </c>
      <c r="D120" s="35">
        <f>D119-MAX(0,D119)*Assumptions!E$31</f>
        <v/>
      </c>
      <c r="E120" s="35">
        <f>E119-MAX(0,E119)*Assumptions!F$31</f>
        <v/>
      </c>
      <c r="F120" s="35">
        <f>F119-MAX(0,F119)*Assumptions!G$31</f>
        <v/>
      </c>
      <c r="G120" s="35">
        <f>G119-MAX(0,G119)*Assumptions!H$31</f>
        <v/>
      </c>
      <c r="H120" s="35">
        <f>H119-MAX(0,H119)*Assumptions!I$31</f>
        <v/>
      </c>
      <c r="I120" s="35">
        <f>I119-MAX(0,I119)*Assumptions!J$31</f>
        <v/>
      </c>
      <c r="J120" s="35">
        <f>J119-MAX(0,J119)*Assumptions!K$31</f>
        <v/>
      </c>
      <c r="K120" s="35">
        <f>K119-MAX(0,K119)*Assumptions!L$31</f>
        <v/>
      </c>
      <c r="L120" s="35">
        <f>L119-MAX(0,L119)*Assumptions!M$31</f>
        <v/>
      </c>
      <c r="M120" s="35">
        <f>M119-MAX(0,M119)*Assumptions!N$31</f>
        <v/>
      </c>
    </row>
    <row r="121">
      <c r="B121" s="88" t="inlineStr">
        <is>
          <t xml:space="preserve">   D&amp;A</t>
        </is>
      </c>
      <c r="D121" s="35">
        <f>D117*Assumptions!E$27</f>
        <v/>
      </c>
      <c r="E121" s="35">
        <f>E117*Assumptions!F$27</f>
        <v/>
      </c>
      <c r="F121" s="35">
        <f>F117*Assumptions!G$27</f>
        <v/>
      </c>
      <c r="G121" s="35">
        <f>G117*Assumptions!H$27</f>
        <v/>
      </c>
      <c r="H121" s="35">
        <f>H117*Assumptions!I$27</f>
        <v/>
      </c>
      <c r="I121" s="35">
        <f>I117*Assumptions!J$27</f>
        <v/>
      </c>
      <c r="J121" s="35">
        <f>J117*Assumptions!K$27</f>
        <v/>
      </c>
      <c r="K121" s="35">
        <f>K117*Assumptions!L$27</f>
        <v/>
      </c>
      <c r="L121" s="35">
        <f>L117*Assumptions!M$27</f>
        <v/>
      </c>
      <c r="M121" s="35">
        <f>M117*Assumptions!N$27</f>
        <v/>
      </c>
    </row>
    <row r="122">
      <c r="B122" s="88" t="inlineStr">
        <is>
          <t xml:space="preserve">   Capex (core + quantum)</t>
        </is>
      </c>
      <c r="D122" s="35">
        <f>-D117*Assumptions!E$28-Assumptions!E$29</f>
        <v/>
      </c>
      <c r="E122" s="35">
        <f>-E117*Assumptions!F$28-Assumptions!F$29</f>
        <v/>
      </c>
      <c r="F122" s="35">
        <f>-F117*Assumptions!G$28-Assumptions!G$29</f>
        <v/>
      </c>
      <c r="G122" s="35">
        <f>-G117*Assumptions!H$28-Assumptions!H$29</f>
        <v/>
      </c>
      <c r="H122" s="35">
        <f>-H117*Assumptions!I$28-Assumptions!I$29</f>
        <v/>
      </c>
      <c r="I122" s="35">
        <f>-I117*Assumptions!J$28-Assumptions!J$29</f>
        <v/>
      </c>
      <c r="J122" s="35">
        <f>-J117*Assumptions!K$28-Assumptions!K$29</f>
        <v/>
      </c>
      <c r="K122" s="35">
        <f>-K117*Assumptions!L$28-Assumptions!L$29</f>
        <v/>
      </c>
      <c r="L122" s="35">
        <f>-L117*Assumptions!M$28-Assumptions!M$29</f>
        <v/>
      </c>
      <c r="M122" s="35">
        <f>-M117*Assumptions!N$28-Assumptions!N$29</f>
        <v/>
      </c>
    </row>
    <row r="123">
      <c r="B123" s="88" t="inlineStr">
        <is>
          <t xml:space="preserve">   Δ working capital</t>
        </is>
      </c>
      <c r="D123" s="35">
        <f>-(D117-C117)*Assumptions!E$30</f>
        <v/>
      </c>
      <c r="E123" s="35">
        <f>-(E117-D117)*Assumptions!F$30</f>
        <v/>
      </c>
      <c r="F123" s="35">
        <f>-(F117-E117)*Assumptions!G$30</f>
        <v/>
      </c>
      <c r="G123" s="35">
        <f>-(G117-F117)*Assumptions!H$30</f>
        <v/>
      </c>
      <c r="H123" s="35">
        <f>-(H117-G117)*Assumptions!I$30</f>
        <v/>
      </c>
      <c r="I123" s="35">
        <f>-(I117-H117)*Assumptions!J$30</f>
        <v/>
      </c>
      <c r="J123" s="35">
        <f>-(J117-I117)*Assumptions!K$30</f>
        <v/>
      </c>
      <c r="K123" s="35">
        <f>-(K117-J117)*Assumptions!L$30</f>
        <v/>
      </c>
      <c r="L123" s="35">
        <f>-(L117-K117)*Assumptions!M$30</f>
        <v/>
      </c>
      <c r="M123" s="35">
        <f>-(M117-L117)*Assumptions!N$30</f>
        <v/>
      </c>
    </row>
    <row r="124">
      <c r="B124" s="88" t="inlineStr">
        <is>
          <t xml:space="preserve">   Unlevered FCF</t>
        </is>
      </c>
      <c r="D124" s="37">
        <f>D120+D121+D122+D123</f>
        <v/>
      </c>
      <c r="E124" s="37">
        <f>E120+E121+E122+E123</f>
        <v/>
      </c>
      <c r="F124" s="37">
        <f>F120+F121+F122+F123</f>
        <v/>
      </c>
      <c r="G124" s="37">
        <f>G120+G121+G122+G123</f>
        <v/>
      </c>
      <c r="H124" s="37">
        <f>H120+H121+H122+H123</f>
        <v/>
      </c>
      <c r="I124" s="37">
        <f>I120+I121+I122+I123</f>
        <v/>
      </c>
      <c r="J124" s="37">
        <f>J120+J121+J122+J123</f>
        <v/>
      </c>
      <c r="K124" s="37">
        <f>K120+K121+K122+K123</f>
        <v/>
      </c>
      <c r="L124" s="37">
        <f>L120+L121+L122+L123</f>
        <v/>
      </c>
      <c r="M124" s="37">
        <f>M120+M121+M122+M123</f>
        <v/>
      </c>
    </row>
    <row r="125">
      <c r="B125" s="88" t="inlineStr">
        <is>
          <t xml:space="preserve">   PV of FCF</t>
        </is>
      </c>
      <c r="D125" s="35">
        <f>D124*DCF!D$17/(1+$N$125)^DCF!D$18</f>
        <v/>
      </c>
      <c r="E125" s="35">
        <f>E124*DCF!E$17/(1+$N$125)^DCF!E$18</f>
        <v/>
      </c>
      <c r="F125" s="35">
        <f>F124*DCF!F$17/(1+$N$125)^DCF!F$18</f>
        <v/>
      </c>
      <c r="G125" s="35">
        <f>G124*DCF!G$17/(1+$N$125)^DCF!G$18</f>
        <v/>
      </c>
      <c r="H125" s="35">
        <f>H124*DCF!H$17/(1+$N$125)^DCF!H$18</f>
        <v/>
      </c>
      <c r="I125" s="35">
        <f>I124*DCF!I$17/(1+$N$125)^DCF!I$18</f>
        <v/>
      </c>
      <c r="J125" s="35">
        <f>J124*DCF!J$17/(1+$N$125)^DCF!J$18</f>
        <v/>
      </c>
      <c r="K125" s="35">
        <f>K124*DCF!K$17/(1+$N$125)^DCF!K$18</f>
        <v/>
      </c>
      <c r="L125" s="35">
        <f>L124*DCF!L$17/(1+$N$125)^DCF!L$18</f>
        <v/>
      </c>
      <c r="M125" s="35">
        <f>M124*DCF!M$17/(1+$N$125)^DCF!M$18</f>
        <v/>
      </c>
      <c r="N125" s="46">
        <f>DCF!$C$14+Assumptions!$G$76</f>
        <v/>
      </c>
    </row>
    <row r="126">
      <c r="N126" s="46">
        <f>Assumptions!$G$77</f>
        <v/>
      </c>
    </row>
    <row r="127">
      <c r="B127" s="87" t="inlineStr">
        <is>
          <t xml:space="preserve">   Q Base value per share</t>
        </is>
      </c>
      <c r="C127" s="63">
        <f>(SUM(D125:M125)+M124*(1+$N$126)/($N$125-$N$126)/(1+$N$125)^DCF!$M$18+DCF!$C$31-DCF!$C$32)/DCF!$C$34</f>
        <v/>
      </c>
    </row>
    <row r="128">
      <c r="B128" s="87" t="inlineStr">
        <is>
          <t>Q Breakout · Software</t>
        </is>
      </c>
      <c r="C128" s="52">
        <f>Assumptions!$D$11</f>
        <v/>
      </c>
      <c r="D128" s="35">
        <f>C128*(1+Assumptions!E$5)</f>
        <v/>
      </c>
      <c r="E128" s="35">
        <f>D128*(1+(Assumptions!F$5+Assumptions!$H$74))</f>
        <v/>
      </c>
      <c r="F128" s="35">
        <f>E128*(1+(Assumptions!G$5+Assumptions!$H$74))</f>
        <v/>
      </c>
      <c r="G128" s="35">
        <f>F128*(1+(Assumptions!H$5+Assumptions!$H$74))</f>
        <v/>
      </c>
      <c r="H128" s="35">
        <f>G128*(1+(Assumptions!I$5+Assumptions!$H$74))</f>
        <v/>
      </c>
      <c r="I128" s="35">
        <f>H128*(1+(Assumptions!J$5+Assumptions!$H$74))</f>
        <v/>
      </c>
      <c r="J128" s="35">
        <f>I128*(1+(Assumptions!K$5+Assumptions!$H$74))</f>
        <v/>
      </c>
      <c r="K128" s="35">
        <f>J128*(1+(Assumptions!L$5+Assumptions!$H$74))</f>
        <v/>
      </c>
      <c r="L128" s="35">
        <f>K128*(1+(Assumptions!M$5+Assumptions!$H$74))</f>
        <v/>
      </c>
      <c r="M128" s="35">
        <f>L128*(1+(Assumptions!N$5+Assumptions!$H$74))</f>
        <v/>
      </c>
    </row>
    <row r="129">
      <c r="B129" s="88" t="inlineStr">
        <is>
          <t xml:space="preserve">   Consulting</t>
        </is>
      </c>
      <c r="C129" s="52">
        <f>Assumptions!$D$12</f>
        <v/>
      </c>
      <c r="D129" s="35">
        <f>C129*(1+Assumptions!E$6)</f>
        <v/>
      </c>
      <c r="E129" s="35">
        <f>D129*(1+(Assumptions!F$6+Assumptions!$H$74))</f>
        <v/>
      </c>
      <c r="F129" s="35">
        <f>E129*(1+(Assumptions!G$6+Assumptions!$H$74))</f>
        <v/>
      </c>
      <c r="G129" s="35">
        <f>F129*(1+(Assumptions!H$6+Assumptions!$H$74))</f>
        <v/>
      </c>
      <c r="H129" s="35">
        <f>G129*(1+(Assumptions!I$6+Assumptions!$H$74))</f>
        <v/>
      </c>
      <c r="I129" s="35">
        <f>H129*(1+(Assumptions!J$6+Assumptions!$H$74))</f>
        <v/>
      </c>
      <c r="J129" s="35">
        <f>I129*(1+(Assumptions!K$6+Assumptions!$H$74))</f>
        <v/>
      </c>
      <c r="K129" s="35">
        <f>J129*(1+(Assumptions!L$6+Assumptions!$H$74))</f>
        <v/>
      </c>
      <c r="L129" s="35">
        <f>K129*(1+(Assumptions!M$6+Assumptions!$H$74))</f>
        <v/>
      </c>
      <c r="M129" s="35">
        <f>L129*(1+(Assumptions!N$6+Assumptions!$H$74))</f>
        <v/>
      </c>
    </row>
    <row r="130">
      <c r="B130" s="88" t="inlineStr">
        <is>
          <t xml:space="preserve">   Infrastructure</t>
        </is>
      </c>
      <c r="C130" s="52">
        <f>Assumptions!$D$13</f>
        <v/>
      </c>
      <c r="D130" s="35">
        <f>C130*(1+Assumptions!E$7)</f>
        <v/>
      </c>
      <c r="E130" s="35">
        <f>D130*(1+(Assumptions!F$7+Assumptions!$H$74))</f>
        <v/>
      </c>
      <c r="F130" s="35">
        <f>E130*(1+(Assumptions!G$7+Assumptions!$H$74))</f>
        <v/>
      </c>
      <c r="G130" s="35">
        <f>F130*(1+(Assumptions!H$7+Assumptions!$H$74))</f>
        <v/>
      </c>
      <c r="H130" s="35">
        <f>G130*(1+(Assumptions!I$7+Assumptions!$H$74))</f>
        <v/>
      </c>
      <c r="I130" s="35">
        <f>H130*(1+(Assumptions!J$7+Assumptions!$H$74))</f>
        <v/>
      </c>
      <c r="J130" s="35">
        <f>I130*(1+(Assumptions!K$7+Assumptions!$H$74))</f>
        <v/>
      </c>
      <c r="K130" s="35">
        <f>J130*(1+(Assumptions!L$7+Assumptions!$H$74))</f>
        <v/>
      </c>
      <c r="L130" s="35">
        <f>K130*(1+(Assumptions!M$7+Assumptions!$H$74))</f>
        <v/>
      </c>
      <c r="M130" s="35">
        <f>L130*(1+(Assumptions!N$7+Assumptions!$H$74))</f>
        <v/>
      </c>
    </row>
    <row r="131">
      <c r="B131" s="88" t="inlineStr">
        <is>
          <t xml:space="preserve">   Financing</t>
        </is>
      </c>
      <c r="C131" s="52">
        <f>Assumptions!$D$14</f>
        <v/>
      </c>
      <c r="D131" s="35">
        <f>C131*(1+Assumptions!E$8)</f>
        <v/>
      </c>
      <c r="E131" s="35">
        <f>D131*(1+Assumptions!F$8)</f>
        <v/>
      </c>
      <c r="F131" s="35">
        <f>E131*(1+Assumptions!G$8)</f>
        <v/>
      </c>
      <c r="G131" s="35">
        <f>F131*(1+Assumptions!H$8)</f>
        <v/>
      </c>
      <c r="H131" s="35">
        <f>G131*(1+Assumptions!I$8)</f>
        <v/>
      </c>
      <c r="I131" s="35">
        <f>H131*(1+Assumptions!J$8)</f>
        <v/>
      </c>
      <c r="J131" s="35">
        <f>I131*(1+Assumptions!K$8)</f>
        <v/>
      </c>
      <c r="K131" s="35">
        <f>J131*(1+Assumptions!L$8)</f>
        <v/>
      </c>
      <c r="L131" s="35">
        <f>K131*(1+Assumptions!M$8)</f>
        <v/>
      </c>
      <c r="M131" s="35">
        <f>L131*(1+Assumptions!N$8)</f>
        <v/>
      </c>
    </row>
    <row r="132">
      <c r="B132" s="88" t="inlineStr">
        <is>
          <t xml:space="preserve">   Quantum revenue</t>
        </is>
      </c>
      <c r="C132" s="35">
        <f>0</f>
        <v/>
      </c>
      <c r="D132" s="35">
        <f>Assumptions!E$15*Assumptions!$H$78</f>
        <v/>
      </c>
      <c r="E132" s="35">
        <f>Assumptions!F$15*Assumptions!$H$78</f>
        <v/>
      </c>
      <c r="F132" s="35">
        <f>Assumptions!G$15*Assumptions!$H$78</f>
        <v/>
      </c>
      <c r="G132" s="35">
        <f>Assumptions!H$15*Assumptions!$H$78</f>
        <v/>
      </c>
      <c r="H132" s="35">
        <f>Assumptions!I$15*Assumptions!$H$78</f>
        <v/>
      </c>
      <c r="I132" s="35">
        <f>Assumptions!J$15*Assumptions!$H$78</f>
        <v/>
      </c>
      <c r="J132" s="35">
        <f>Assumptions!K$15*Assumptions!$H$78</f>
        <v/>
      </c>
      <c r="K132" s="35">
        <f>Assumptions!L$15*Assumptions!$H$78</f>
        <v/>
      </c>
      <c r="L132" s="35">
        <f>Assumptions!M$15*Assumptions!$H$78</f>
        <v/>
      </c>
      <c r="M132" s="35">
        <f>Assumptions!N$15*Assumptions!$H$78</f>
        <v/>
      </c>
    </row>
    <row r="133">
      <c r="B133" s="88" t="inlineStr">
        <is>
          <t xml:space="preserve">   Total revenue</t>
        </is>
      </c>
      <c r="C133" s="35">
        <f>SUM(C128:C132)</f>
        <v/>
      </c>
      <c r="D133" s="35">
        <f>SUM(D128:D132)</f>
        <v/>
      </c>
      <c r="E133" s="35">
        <f>SUM(E128:E132)</f>
        <v/>
      </c>
      <c r="F133" s="35">
        <f>SUM(F128:F132)</f>
        <v/>
      </c>
      <c r="G133" s="35">
        <f>SUM(G128:G132)</f>
        <v/>
      </c>
      <c r="H133" s="35">
        <f>SUM(H128:H132)</f>
        <v/>
      </c>
      <c r="I133" s="35">
        <f>SUM(I128:I132)</f>
        <v/>
      </c>
      <c r="J133" s="35">
        <f>SUM(J128:J132)</f>
        <v/>
      </c>
      <c r="K133" s="35">
        <f>SUM(K128:K132)</f>
        <v/>
      </c>
      <c r="L133" s="35">
        <f>SUM(L128:L132)</f>
        <v/>
      </c>
      <c r="M133" s="35">
        <f>SUM(M128:M132)</f>
        <v/>
      </c>
    </row>
    <row r="134">
      <c r="B134" s="88" t="inlineStr">
        <is>
          <t xml:space="preserve">   Segment profit (incl. quantum)</t>
        </is>
      </c>
      <c r="D134" s="35">
        <f>D128*(Assumptions!E$19)+D129*(Assumptions!E$20)+D130*(Assumptions!E$21)+D131*(Assumptions!E$22)+D132*Assumptions!E$23-Assumptions!E$24</f>
        <v/>
      </c>
      <c r="E134" s="35">
        <f>E128*(Assumptions!F$19+Assumptions!$H$75)+E129*(Assumptions!F$20+Assumptions!$H$75)+E130*(Assumptions!F$21+Assumptions!$H$75)+E131*(Assumptions!F$22)+E132*Assumptions!F$23-Assumptions!F$24</f>
        <v/>
      </c>
      <c r="F134" s="35">
        <f>F128*(Assumptions!G$19+Assumptions!$H$75)+F129*(Assumptions!G$20+Assumptions!$H$75)+F130*(Assumptions!G$21+Assumptions!$H$75)+F131*(Assumptions!G$22)+F132*Assumptions!G$23-Assumptions!G$24</f>
        <v/>
      </c>
      <c r="G134" s="35">
        <f>G128*(Assumptions!H$19+Assumptions!$H$75)+G129*(Assumptions!H$20+Assumptions!$H$75)+G130*(Assumptions!H$21+Assumptions!$H$75)+G131*(Assumptions!H$22)+G132*Assumptions!H$23-Assumptions!H$24</f>
        <v/>
      </c>
      <c r="H134" s="35">
        <f>H128*(Assumptions!I$19+Assumptions!$H$75)+H129*(Assumptions!I$20+Assumptions!$H$75)+H130*(Assumptions!I$21+Assumptions!$H$75)+H131*(Assumptions!I$22)+H132*Assumptions!I$23-Assumptions!I$24</f>
        <v/>
      </c>
      <c r="I134" s="35">
        <f>I128*(Assumptions!J$19+Assumptions!$H$75)+I129*(Assumptions!J$20+Assumptions!$H$75)+I130*(Assumptions!J$21+Assumptions!$H$75)+I131*(Assumptions!J$22)+I132*Assumptions!J$23-Assumptions!J$24</f>
        <v/>
      </c>
      <c r="J134" s="35">
        <f>J128*(Assumptions!K$19+Assumptions!$H$75)+J129*(Assumptions!K$20+Assumptions!$H$75)+J130*(Assumptions!K$21+Assumptions!$H$75)+J131*(Assumptions!K$22)+J132*Assumptions!K$23-Assumptions!K$24</f>
        <v/>
      </c>
      <c r="K134" s="35">
        <f>K128*(Assumptions!L$19+Assumptions!$H$75)+K129*(Assumptions!L$20+Assumptions!$H$75)+K130*(Assumptions!L$21+Assumptions!$H$75)+K131*(Assumptions!L$22)+K132*Assumptions!L$23-Assumptions!L$24</f>
        <v/>
      </c>
      <c r="L134" s="35">
        <f>L128*(Assumptions!M$19+Assumptions!$H$75)+L129*(Assumptions!M$20+Assumptions!$H$75)+L130*(Assumptions!M$21+Assumptions!$H$75)+L131*(Assumptions!M$22)+L132*Assumptions!M$23-Assumptions!M$24</f>
        <v/>
      </c>
      <c r="M134" s="35">
        <f>M128*(Assumptions!N$19+Assumptions!$H$75)+M129*(Assumptions!N$20+Assumptions!$H$75)+M130*(Assumptions!N$21+Assumptions!$H$75)+M131*(Assumptions!N$22)+M132*Assumptions!N$23-Assumptions!N$24</f>
        <v/>
      </c>
    </row>
    <row r="135">
      <c r="B135" s="88" t="inlineStr">
        <is>
          <t xml:space="preserve">   EBIT</t>
        </is>
      </c>
      <c r="D135" s="35">
        <f>D134-D133*Assumptions!E$25</f>
        <v/>
      </c>
      <c r="E135" s="35">
        <f>E134-E133*Assumptions!F$25</f>
        <v/>
      </c>
      <c r="F135" s="35">
        <f>F134-F133*Assumptions!G$25</f>
        <v/>
      </c>
      <c r="G135" s="35">
        <f>G134-G133*Assumptions!H$25</f>
        <v/>
      </c>
      <c r="H135" s="35">
        <f>H134-H133*Assumptions!I$25</f>
        <v/>
      </c>
      <c r="I135" s="35">
        <f>I134-I133*Assumptions!J$25</f>
        <v/>
      </c>
      <c r="J135" s="35">
        <f>J134-J133*Assumptions!K$25</f>
        <v/>
      </c>
      <c r="K135" s="35">
        <f>K134-K133*Assumptions!L$25</f>
        <v/>
      </c>
      <c r="L135" s="35">
        <f>L134-L133*Assumptions!M$25</f>
        <v/>
      </c>
      <c r="M135" s="35">
        <f>M134-M133*Assumptions!N$25</f>
        <v/>
      </c>
    </row>
    <row r="136">
      <c r="B136" s="88" t="inlineStr">
        <is>
          <t xml:space="preserve">   NOPAT</t>
        </is>
      </c>
      <c r="D136" s="35">
        <f>D135-MAX(0,D135)*Assumptions!E$31</f>
        <v/>
      </c>
      <c r="E136" s="35">
        <f>E135-MAX(0,E135)*Assumptions!F$31</f>
        <v/>
      </c>
      <c r="F136" s="35">
        <f>F135-MAX(0,F135)*Assumptions!G$31</f>
        <v/>
      </c>
      <c r="G136" s="35">
        <f>G135-MAX(0,G135)*Assumptions!H$31</f>
        <v/>
      </c>
      <c r="H136" s="35">
        <f>H135-MAX(0,H135)*Assumptions!I$31</f>
        <v/>
      </c>
      <c r="I136" s="35">
        <f>I135-MAX(0,I135)*Assumptions!J$31</f>
        <v/>
      </c>
      <c r="J136" s="35">
        <f>J135-MAX(0,J135)*Assumptions!K$31</f>
        <v/>
      </c>
      <c r="K136" s="35">
        <f>K135-MAX(0,K135)*Assumptions!L$31</f>
        <v/>
      </c>
      <c r="L136" s="35">
        <f>L135-MAX(0,L135)*Assumptions!M$31</f>
        <v/>
      </c>
      <c r="M136" s="35">
        <f>M135-MAX(0,M135)*Assumptions!N$31</f>
        <v/>
      </c>
    </row>
    <row r="137">
      <c r="B137" s="88" t="inlineStr">
        <is>
          <t xml:space="preserve">   D&amp;A</t>
        </is>
      </c>
      <c r="D137" s="35">
        <f>D133*Assumptions!E$27</f>
        <v/>
      </c>
      <c r="E137" s="35">
        <f>E133*Assumptions!F$27</f>
        <v/>
      </c>
      <c r="F137" s="35">
        <f>F133*Assumptions!G$27</f>
        <v/>
      </c>
      <c r="G137" s="35">
        <f>G133*Assumptions!H$27</f>
        <v/>
      </c>
      <c r="H137" s="35">
        <f>H133*Assumptions!I$27</f>
        <v/>
      </c>
      <c r="I137" s="35">
        <f>I133*Assumptions!J$27</f>
        <v/>
      </c>
      <c r="J137" s="35">
        <f>J133*Assumptions!K$27</f>
        <v/>
      </c>
      <c r="K137" s="35">
        <f>K133*Assumptions!L$27</f>
        <v/>
      </c>
      <c r="L137" s="35">
        <f>L133*Assumptions!M$27</f>
        <v/>
      </c>
      <c r="M137" s="35">
        <f>M133*Assumptions!N$27</f>
        <v/>
      </c>
    </row>
    <row r="138">
      <c r="B138" s="88" t="inlineStr">
        <is>
          <t xml:space="preserve">   Capex (core + quantum)</t>
        </is>
      </c>
      <c r="D138" s="35">
        <f>-D133*Assumptions!E$28-Assumptions!E$29</f>
        <v/>
      </c>
      <c r="E138" s="35">
        <f>-E133*Assumptions!F$28-Assumptions!F$29</f>
        <v/>
      </c>
      <c r="F138" s="35">
        <f>-F133*Assumptions!G$28-Assumptions!G$29</f>
        <v/>
      </c>
      <c r="G138" s="35">
        <f>-G133*Assumptions!H$28-Assumptions!H$29</f>
        <v/>
      </c>
      <c r="H138" s="35">
        <f>-H133*Assumptions!I$28-Assumptions!I$29</f>
        <v/>
      </c>
      <c r="I138" s="35">
        <f>-I133*Assumptions!J$28-Assumptions!J$29</f>
        <v/>
      </c>
      <c r="J138" s="35">
        <f>-J133*Assumptions!K$28-Assumptions!K$29</f>
        <v/>
      </c>
      <c r="K138" s="35">
        <f>-K133*Assumptions!L$28-Assumptions!L$29</f>
        <v/>
      </c>
      <c r="L138" s="35">
        <f>-L133*Assumptions!M$28-Assumptions!M$29</f>
        <v/>
      </c>
      <c r="M138" s="35">
        <f>-M133*Assumptions!N$28-Assumptions!N$29</f>
        <v/>
      </c>
    </row>
    <row r="139">
      <c r="B139" s="88" t="inlineStr">
        <is>
          <t xml:space="preserve">   Δ working capital</t>
        </is>
      </c>
      <c r="D139" s="35">
        <f>-(D133-C133)*Assumptions!E$30</f>
        <v/>
      </c>
      <c r="E139" s="35">
        <f>-(E133-D133)*Assumptions!F$30</f>
        <v/>
      </c>
      <c r="F139" s="35">
        <f>-(F133-E133)*Assumptions!G$30</f>
        <v/>
      </c>
      <c r="G139" s="35">
        <f>-(G133-F133)*Assumptions!H$30</f>
        <v/>
      </c>
      <c r="H139" s="35">
        <f>-(H133-G133)*Assumptions!I$30</f>
        <v/>
      </c>
      <c r="I139" s="35">
        <f>-(I133-H133)*Assumptions!J$30</f>
        <v/>
      </c>
      <c r="J139" s="35">
        <f>-(J133-I133)*Assumptions!K$30</f>
        <v/>
      </c>
      <c r="K139" s="35">
        <f>-(K133-J133)*Assumptions!L$30</f>
        <v/>
      </c>
      <c r="L139" s="35">
        <f>-(L133-K133)*Assumptions!M$30</f>
        <v/>
      </c>
      <c r="M139" s="35">
        <f>-(M133-L133)*Assumptions!N$30</f>
        <v/>
      </c>
    </row>
    <row r="140">
      <c r="B140" s="88" t="inlineStr">
        <is>
          <t xml:space="preserve">   Unlevered FCF</t>
        </is>
      </c>
      <c r="D140" s="37">
        <f>D136+D137+D138+D139</f>
        <v/>
      </c>
      <c r="E140" s="37">
        <f>E136+E137+E138+E139</f>
        <v/>
      </c>
      <c r="F140" s="37">
        <f>F136+F137+F138+F139</f>
        <v/>
      </c>
      <c r="G140" s="37">
        <f>G136+G137+G138+G139</f>
        <v/>
      </c>
      <c r="H140" s="37">
        <f>H136+H137+H138+H139</f>
        <v/>
      </c>
      <c r="I140" s="37">
        <f>I136+I137+I138+I139</f>
        <v/>
      </c>
      <c r="J140" s="37">
        <f>J136+J137+J138+J139</f>
        <v/>
      </c>
      <c r="K140" s="37">
        <f>K136+K137+K138+K139</f>
        <v/>
      </c>
      <c r="L140" s="37">
        <f>L136+L137+L138+L139</f>
        <v/>
      </c>
      <c r="M140" s="37">
        <f>M136+M137+M138+M139</f>
        <v/>
      </c>
    </row>
    <row r="141">
      <c r="B141" s="88" t="inlineStr">
        <is>
          <t xml:space="preserve">   PV of FCF</t>
        </is>
      </c>
      <c r="D141" s="35">
        <f>D140*DCF!D$17/(1+$N$141)^DCF!D$18</f>
        <v/>
      </c>
      <c r="E141" s="35">
        <f>E140*DCF!E$17/(1+$N$141)^DCF!E$18</f>
        <v/>
      </c>
      <c r="F141" s="35">
        <f>F140*DCF!F$17/(1+$N$141)^DCF!F$18</f>
        <v/>
      </c>
      <c r="G141" s="35">
        <f>G140*DCF!G$17/(1+$N$141)^DCF!G$18</f>
        <v/>
      </c>
      <c r="H141" s="35">
        <f>H140*DCF!H$17/(1+$N$141)^DCF!H$18</f>
        <v/>
      </c>
      <c r="I141" s="35">
        <f>I140*DCF!I$17/(1+$N$141)^DCF!I$18</f>
        <v/>
      </c>
      <c r="J141" s="35">
        <f>J140*DCF!J$17/(1+$N$141)^DCF!J$18</f>
        <v/>
      </c>
      <c r="K141" s="35">
        <f>K140*DCF!K$17/(1+$N$141)^DCF!K$18</f>
        <v/>
      </c>
      <c r="L141" s="35">
        <f>L140*DCF!L$17/(1+$N$141)^DCF!L$18</f>
        <v/>
      </c>
      <c r="M141" s="35">
        <f>M140*DCF!M$17/(1+$N$141)^DCF!M$18</f>
        <v/>
      </c>
      <c r="N141" s="46">
        <f>DCF!$C$14+Assumptions!$H$76</f>
        <v/>
      </c>
    </row>
    <row r="142">
      <c r="N142" s="46">
        <f>Assumptions!$H$77</f>
        <v/>
      </c>
    </row>
    <row r="143">
      <c r="B143" s="87" t="inlineStr">
        <is>
          <t xml:space="preserve">   Q Breakout value per share</t>
        </is>
      </c>
      <c r="C143" s="63">
        <f>(SUM(D141:M141)+M140*(1+$N$142)/($N$141-$N$142)/(1+$N$141)^DCF!$M$18+DCF!$C$31-DCF!$C$32)/DCF!$C$34</f>
        <v/>
      </c>
    </row>
    <row r="144">
      <c r="B144" s="87" t="inlineStr">
        <is>
          <t>Q Dominant · Software</t>
        </is>
      </c>
      <c r="C144" s="52">
        <f>Assumptions!$D$11</f>
        <v/>
      </c>
      <c r="D144" s="35">
        <f>C144*(1+Assumptions!E$5)</f>
        <v/>
      </c>
      <c r="E144" s="35">
        <f>D144*(1+(Assumptions!F$5+Assumptions!$I$74))</f>
        <v/>
      </c>
      <c r="F144" s="35">
        <f>E144*(1+(Assumptions!G$5+Assumptions!$I$74))</f>
        <v/>
      </c>
      <c r="G144" s="35">
        <f>F144*(1+(Assumptions!H$5+Assumptions!$I$74))</f>
        <v/>
      </c>
      <c r="H144" s="35">
        <f>G144*(1+(Assumptions!I$5+Assumptions!$I$74))</f>
        <v/>
      </c>
      <c r="I144" s="35">
        <f>H144*(1+(Assumptions!J$5+Assumptions!$I$74))</f>
        <v/>
      </c>
      <c r="J144" s="35">
        <f>I144*(1+(Assumptions!K$5+Assumptions!$I$74))</f>
        <v/>
      </c>
      <c r="K144" s="35">
        <f>J144*(1+(Assumptions!L$5+Assumptions!$I$74))</f>
        <v/>
      </c>
      <c r="L144" s="35">
        <f>K144*(1+(Assumptions!M$5+Assumptions!$I$74))</f>
        <v/>
      </c>
      <c r="M144" s="35">
        <f>L144*(1+(Assumptions!N$5+Assumptions!$I$74))</f>
        <v/>
      </c>
    </row>
    <row r="145">
      <c r="B145" s="88" t="inlineStr">
        <is>
          <t xml:space="preserve">   Consulting</t>
        </is>
      </c>
      <c r="C145" s="52">
        <f>Assumptions!$D$12</f>
        <v/>
      </c>
      <c r="D145" s="35">
        <f>C145*(1+Assumptions!E$6)</f>
        <v/>
      </c>
      <c r="E145" s="35">
        <f>D145*(1+(Assumptions!F$6+Assumptions!$I$74))</f>
        <v/>
      </c>
      <c r="F145" s="35">
        <f>E145*(1+(Assumptions!G$6+Assumptions!$I$74))</f>
        <v/>
      </c>
      <c r="G145" s="35">
        <f>F145*(1+(Assumptions!H$6+Assumptions!$I$74))</f>
        <v/>
      </c>
      <c r="H145" s="35">
        <f>G145*(1+(Assumptions!I$6+Assumptions!$I$74))</f>
        <v/>
      </c>
      <c r="I145" s="35">
        <f>H145*(1+(Assumptions!J$6+Assumptions!$I$74))</f>
        <v/>
      </c>
      <c r="J145" s="35">
        <f>I145*(1+(Assumptions!K$6+Assumptions!$I$74))</f>
        <v/>
      </c>
      <c r="K145" s="35">
        <f>J145*(1+(Assumptions!L$6+Assumptions!$I$74))</f>
        <v/>
      </c>
      <c r="L145" s="35">
        <f>K145*(1+(Assumptions!M$6+Assumptions!$I$74))</f>
        <v/>
      </c>
      <c r="M145" s="35">
        <f>L145*(1+(Assumptions!N$6+Assumptions!$I$74))</f>
        <v/>
      </c>
    </row>
    <row r="146">
      <c r="B146" s="88" t="inlineStr">
        <is>
          <t xml:space="preserve">   Infrastructure</t>
        </is>
      </c>
      <c r="C146" s="52">
        <f>Assumptions!$D$13</f>
        <v/>
      </c>
      <c r="D146" s="35">
        <f>C146*(1+Assumptions!E$7)</f>
        <v/>
      </c>
      <c r="E146" s="35">
        <f>D146*(1+(Assumptions!F$7+Assumptions!$I$74))</f>
        <v/>
      </c>
      <c r="F146" s="35">
        <f>E146*(1+(Assumptions!G$7+Assumptions!$I$74))</f>
        <v/>
      </c>
      <c r="G146" s="35">
        <f>F146*(1+(Assumptions!H$7+Assumptions!$I$74))</f>
        <v/>
      </c>
      <c r="H146" s="35">
        <f>G146*(1+(Assumptions!I$7+Assumptions!$I$74))</f>
        <v/>
      </c>
      <c r="I146" s="35">
        <f>H146*(1+(Assumptions!J$7+Assumptions!$I$74))</f>
        <v/>
      </c>
      <c r="J146" s="35">
        <f>I146*(1+(Assumptions!K$7+Assumptions!$I$74))</f>
        <v/>
      </c>
      <c r="K146" s="35">
        <f>J146*(1+(Assumptions!L$7+Assumptions!$I$74))</f>
        <v/>
      </c>
      <c r="L146" s="35">
        <f>K146*(1+(Assumptions!M$7+Assumptions!$I$74))</f>
        <v/>
      </c>
      <c r="M146" s="35">
        <f>L146*(1+(Assumptions!N$7+Assumptions!$I$74))</f>
        <v/>
      </c>
    </row>
    <row r="147">
      <c r="B147" s="88" t="inlineStr">
        <is>
          <t xml:space="preserve">   Financing</t>
        </is>
      </c>
      <c r="C147" s="52">
        <f>Assumptions!$D$14</f>
        <v/>
      </c>
      <c r="D147" s="35">
        <f>C147*(1+Assumptions!E$8)</f>
        <v/>
      </c>
      <c r="E147" s="35">
        <f>D147*(1+Assumptions!F$8)</f>
        <v/>
      </c>
      <c r="F147" s="35">
        <f>E147*(1+Assumptions!G$8)</f>
        <v/>
      </c>
      <c r="G147" s="35">
        <f>F147*(1+Assumptions!H$8)</f>
        <v/>
      </c>
      <c r="H147" s="35">
        <f>G147*(1+Assumptions!I$8)</f>
        <v/>
      </c>
      <c r="I147" s="35">
        <f>H147*(1+Assumptions!J$8)</f>
        <v/>
      </c>
      <c r="J147" s="35">
        <f>I147*(1+Assumptions!K$8)</f>
        <v/>
      </c>
      <c r="K147" s="35">
        <f>J147*(1+Assumptions!L$8)</f>
        <v/>
      </c>
      <c r="L147" s="35">
        <f>K147*(1+Assumptions!M$8)</f>
        <v/>
      </c>
      <c r="M147" s="35">
        <f>L147*(1+Assumptions!N$8)</f>
        <v/>
      </c>
    </row>
    <row r="148">
      <c r="B148" s="88" t="inlineStr">
        <is>
          <t xml:space="preserve">   Quantum revenue</t>
        </is>
      </c>
      <c r="C148" s="35">
        <f>0</f>
        <v/>
      </c>
      <c r="D148" s="35">
        <f>Assumptions!E$15*Assumptions!$I$78</f>
        <v/>
      </c>
      <c r="E148" s="35">
        <f>Assumptions!F$15*Assumptions!$I$78</f>
        <v/>
      </c>
      <c r="F148" s="35">
        <f>Assumptions!G$15*Assumptions!$I$78</f>
        <v/>
      </c>
      <c r="G148" s="35">
        <f>Assumptions!H$15*Assumptions!$I$78</f>
        <v/>
      </c>
      <c r="H148" s="35">
        <f>Assumptions!I$15*Assumptions!$I$78</f>
        <v/>
      </c>
      <c r="I148" s="35">
        <f>Assumptions!J$15*Assumptions!$I$78</f>
        <v/>
      </c>
      <c r="J148" s="35">
        <f>Assumptions!K$15*Assumptions!$I$78</f>
        <v/>
      </c>
      <c r="K148" s="35">
        <f>Assumptions!L$15*Assumptions!$I$78</f>
        <v/>
      </c>
      <c r="L148" s="35">
        <f>Assumptions!M$15*Assumptions!$I$78</f>
        <v/>
      </c>
      <c r="M148" s="35">
        <f>Assumptions!N$15*Assumptions!$I$78</f>
        <v/>
      </c>
    </row>
    <row r="149">
      <c r="B149" s="88" t="inlineStr">
        <is>
          <t xml:space="preserve">   Total revenue</t>
        </is>
      </c>
      <c r="C149" s="35">
        <f>SUM(C144:C148)</f>
        <v/>
      </c>
      <c r="D149" s="35">
        <f>SUM(D144:D148)</f>
        <v/>
      </c>
      <c r="E149" s="35">
        <f>SUM(E144:E148)</f>
        <v/>
      </c>
      <c r="F149" s="35">
        <f>SUM(F144:F148)</f>
        <v/>
      </c>
      <c r="G149" s="35">
        <f>SUM(G144:G148)</f>
        <v/>
      </c>
      <c r="H149" s="35">
        <f>SUM(H144:H148)</f>
        <v/>
      </c>
      <c r="I149" s="35">
        <f>SUM(I144:I148)</f>
        <v/>
      </c>
      <c r="J149" s="35">
        <f>SUM(J144:J148)</f>
        <v/>
      </c>
      <c r="K149" s="35">
        <f>SUM(K144:K148)</f>
        <v/>
      </c>
      <c r="L149" s="35">
        <f>SUM(L144:L148)</f>
        <v/>
      </c>
      <c r="M149" s="35">
        <f>SUM(M144:M148)</f>
        <v/>
      </c>
    </row>
    <row r="150">
      <c r="B150" s="88" t="inlineStr">
        <is>
          <t xml:space="preserve">   Segment profit (incl. quantum)</t>
        </is>
      </c>
      <c r="D150" s="35">
        <f>D144*(Assumptions!E$19)+D145*(Assumptions!E$20)+D146*(Assumptions!E$21)+D147*(Assumptions!E$22)+D148*Assumptions!E$23-Assumptions!E$24</f>
        <v/>
      </c>
      <c r="E150" s="35">
        <f>E144*(Assumptions!F$19+Assumptions!$I$75)+E145*(Assumptions!F$20+Assumptions!$I$75)+E146*(Assumptions!F$21+Assumptions!$I$75)+E147*(Assumptions!F$22)+E148*Assumptions!F$23-Assumptions!F$24</f>
        <v/>
      </c>
      <c r="F150" s="35">
        <f>F144*(Assumptions!G$19+Assumptions!$I$75)+F145*(Assumptions!G$20+Assumptions!$I$75)+F146*(Assumptions!G$21+Assumptions!$I$75)+F147*(Assumptions!G$22)+F148*Assumptions!G$23-Assumptions!G$24</f>
        <v/>
      </c>
      <c r="G150" s="35">
        <f>G144*(Assumptions!H$19+Assumptions!$I$75)+G145*(Assumptions!H$20+Assumptions!$I$75)+G146*(Assumptions!H$21+Assumptions!$I$75)+G147*(Assumptions!H$22)+G148*Assumptions!H$23-Assumptions!H$24</f>
        <v/>
      </c>
      <c r="H150" s="35">
        <f>H144*(Assumptions!I$19+Assumptions!$I$75)+H145*(Assumptions!I$20+Assumptions!$I$75)+H146*(Assumptions!I$21+Assumptions!$I$75)+H147*(Assumptions!I$22)+H148*Assumptions!I$23-Assumptions!I$24</f>
        <v/>
      </c>
      <c r="I150" s="35">
        <f>I144*(Assumptions!J$19+Assumptions!$I$75)+I145*(Assumptions!J$20+Assumptions!$I$75)+I146*(Assumptions!J$21+Assumptions!$I$75)+I147*(Assumptions!J$22)+I148*Assumptions!J$23-Assumptions!J$24</f>
        <v/>
      </c>
      <c r="J150" s="35">
        <f>J144*(Assumptions!K$19+Assumptions!$I$75)+J145*(Assumptions!K$20+Assumptions!$I$75)+J146*(Assumptions!K$21+Assumptions!$I$75)+J147*(Assumptions!K$22)+J148*Assumptions!K$23-Assumptions!K$24</f>
        <v/>
      </c>
      <c r="K150" s="35">
        <f>K144*(Assumptions!L$19+Assumptions!$I$75)+K145*(Assumptions!L$20+Assumptions!$I$75)+K146*(Assumptions!L$21+Assumptions!$I$75)+K147*(Assumptions!L$22)+K148*Assumptions!L$23-Assumptions!L$24</f>
        <v/>
      </c>
      <c r="L150" s="35">
        <f>L144*(Assumptions!M$19+Assumptions!$I$75)+L145*(Assumptions!M$20+Assumptions!$I$75)+L146*(Assumptions!M$21+Assumptions!$I$75)+L147*(Assumptions!M$22)+L148*Assumptions!M$23-Assumptions!M$24</f>
        <v/>
      </c>
      <c r="M150" s="35">
        <f>M144*(Assumptions!N$19+Assumptions!$I$75)+M145*(Assumptions!N$20+Assumptions!$I$75)+M146*(Assumptions!N$21+Assumptions!$I$75)+M147*(Assumptions!N$22)+M148*Assumptions!N$23-Assumptions!N$24</f>
        <v/>
      </c>
    </row>
    <row r="151">
      <c r="B151" s="88" t="inlineStr">
        <is>
          <t xml:space="preserve">   EBIT</t>
        </is>
      </c>
      <c r="D151" s="35">
        <f>D150-D149*Assumptions!E$25</f>
        <v/>
      </c>
      <c r="E151" s="35">
        <f>E150-E149*Assumptions!F$25</f>
        <v/>
      </c>
      <c r="F151" s="35">
        <f>F150-F149*Assumptions!G$25</f>
        <v/>
      </c>
      <c r="G151" s="35">
        <f>G150-G149*Assumptions!H$25</f>
        <v/>
      </c>
      <c r="H151" s="35">
        <f>H150-H149*Assumptions!I$25</f>
        <v/>
      </c>
      <c r="I151" s="35">
        <f>I150-I149*Assumptions!J$25</f>
        <v/>
      </c>
      <c r="J151" s="35">
        <f>J150-J149*Assumptions!K$25</f>
        <v/>
      </c>
      <c r="K151" s="35">
        <f>K150-K149*Assumptions!L$25</f>
        <v/>
      </c>
      <c r="L151" s="35">
        <f>L150-L149*Assumptions!M$25</f>
        <v/>
      </c>
      <c r="M151" s="35">
        <f>M150-M149*Assumptions!N$25</f>
        <v/>
      </c>
    </row>
    <row r="152">
      <c r="B152" s="88" t="inlineStr">
        <is>
          <t xml:space="preserve">   NOPAT</t>
        </is>
      </c>
      <c r="D152" s="35">
        <f>D151-MAX(0,D151)*Assumptions!E$31</f>
        <v/>
      </c>
      <c r="E152" s="35">
        <f>E151-MAX(0,E151)*Assumptions!F$31</f>
        <v/>
      </c>
      <c r="F152" s="35">
        <f>F151-MAX(0,F151)*Assumptions!G$31</f>
        <v/>
      </c>
      <c r="G152" s="35">
        <f>G151-MAX(0,G151)*Assumptions!H$31</f>
        <v/>
      </c>
      <c r="H152" s="35">
        <f>H151-MAX(0,H151)*Assumptions!I$31</f>
        <v/>
      </c>
      <c r="I152" s="35">
        <f>I151-MAX(0,I151)*Assumptions!J$31</f>
        <v/>
      </c>
      <c r="J152" s="35">
        <f>J151-MAX(0,J151)*Assumptions!K$31</f>
        <v/>
      </c>
      <c r="K152" s="35">
        <f>K151-MAX(0,K151)*Assumptions!L$31</f>
        <v/>
      </c>
      <c r="L152" s="35">
        <f>L151-MAX(0,L151)*Assumptions!M$31</f>
        <v/>
      </c>
      <c r="M152" s="35">
        <f>M151-MAX(0,M151)*Assumptions!N$31</f>
        <v/>
      </c>
    </row>
    <row r="153">
      <c r="B153" s="88" t="inlineStr">
        <is>
          <t xml:space="preserve">   D&amp;A</t>
        </is>
      </c>
      <c r="D153" s="35">
        <f>D149*Assumptions!E$27</f>
        <v/>
      </c>
      <c r="E153" s="35">
        <f>E149*Assumptions!F$27</f>
        <v/>
      </c>
      <c r="F153" s="35">
        <f>F149*Assumptions!G$27</f>
        <v/>
      </c>
      <c r="G153" s="35">
        <f>G149*Assumptions!H$27</f>
        <v/>
      </c>
      <c r="H153" s="35">
        <f>H149*Assumptions!I$27</f>
        <v/>
      </c>
      <c r="I153" s="35">
        <f>I149*Assumptions!J$27</f>
        <v/>
      </c>
      <c r="J153" s="35">
        <f>J149*Assumptions!K$27</f>
        <v/>
      </c>
      <c r="K153" s="35">
        <f>K149*Assumptions!L$27</f>
        <v/>
      </c>
      <c r="L153" s="35">
        <f>L149*Assumptions!M$27</f>
        <v/>
      </c>
      <c r="M153" s="35">
        <f>M149*Assumptions!N$27</f>
        <v/>
      </c>
    </row>
    <row r="154">
      <c r="B154" s="88" t="inlineStr">
        <is>
          <t xml:space="preserve">   Capex (core + quantum)</t>
        </is>
      </c>
      <c r="D154" s="35">
        <f>-D149*Assumptions!E$28-Assumptions!E$29</f>
        <v/>
      </c>
      <c r="E154" s="35">
        <f>-E149*Assumptions!F$28-Assumptions!F$29</f>
        <v/>
      </c>
      <c r="F154" s="35">
        <f>-F149*Assumptions!G$28-Assumptions!G$29</f>
        <v/>
      </c>
      <c r="G154" s="35">
        <f>-G149*Assumptions!H$28-Assumptions!H$29</f>
        <v/>
      </c>
      <c r="H154" s="35">
        <f>-H149*Assumptions!I$28-Assumptions!I$29</f>
        <v/>
      </c>
      <c r="I154" s="35">
        <f>-I149*Assumptions!J$28-Assumptions!J$29</f>
        <v/>
      </c>
      <c r="J154" s="35">
        <f>-J149*Assumptions!K$28-Assumptions!K$29</f>
        <v/>
      </c>
      <c r="K154" s="35">
        <f>-K149*Assumptions!L$28-Assumptions!L$29</f>
        <v/>
      </c>
      <c r="L154" s="35">
        <f>-L149*Assumptions!M$28-Assumptions!M$29</f>
        <v/>
      </c>
      <c r="M154" s="35">
        <f>-M149*Assumptions!N$28-Assumptions!N$29</f>
        <v/>
      </c>
    </row>
    <row r="155">
      <c r="B155" s="88" t="inlineStr">
        <is>
          <t xml:space="preserve">   Δ working capital</t>
        </is>
      </c>
      <c r="D155" s="35">
        <f>-(D149-C149)*Assumptions!E$30</f>
        <v/>
      </c>
      <c r="E155" s="35">
        <f>-(E149-D149)*Assumptions!F$30</f>
        <v/>
      </c>
      <c r="F155" s="35">
        <f>-(F149-E149)*Assumptions!G$30</f>
        <v/>
      </c>
      <c r="G155" s="35">
        <f>-(G149-F149)*Assumptions!H$30</f>
        <v/>
      </c>
      <c r="H155" s="35">
        <f>-(H149-G149)*Assumptions!I$30</f>
        <v/>
      </c>
      <c r="I155" s="35">
        <f>-(I149-H149)*Assumptions!J$30</f>
        <v/>
      </c>
      <c r="J155" s="35">
        <f>-(J149-I149)*Assumptions!K$30</f>
        <v/>
      </c>
      <c r="K155" s="35">
        <f>-(K149-J149)*Assumptions!L$30</f>
        <v/>
      </c>
      <c r="L155" s="35">
        <f>-(L149-K149)*Assumptions!M$30</f>
        <v/>
      </c>
      <c r="M155" s="35">
        <f>-(M149-L149)*Assumptions!N$30</f>
        <v/>
      </c>
    </row>
    <row r="156">
      <c r="B156" s="88" t="inlineStr">
        <is>
          <t xml:space="preserve">   Unlevered FCF</t>
        </is>
      </c>
      <c r="D156" s="37">
        <f>D152+D153+D154+D155</f>
        <v/>
      </c>
      <c r="E156" s="37">
        <f>E152+E153+E154+E155</f>
        <v/>
      </c>
      <c r="F156" s="37">
        <f>F152+F153+F154+F155</f>
        <v/>
      </c>
      <c r="G156" s="37">
        <f>G152+G153+G154+G155</f>
        <v/>
      </c>
      <c r="H156" s="37">
        <f>H152+H153+H154+H155</f>
        <v/>
      </c>
      <c r="I156" s="37">
        <f>I152+I153+I154+I155</f>
        <v/>
      </c>
      <c r="J156" s="37">
        <f>J152+J153+J154+J155</f>
        <v/>
      </c>
      <c r="K156" s="37">
        <f>K152+K153+K154+K155</f>
        <v/>
      </c>
      <c r="L156" s="37">
        <f>L152+L153+L154+L155</f>
        <v/>
      </c>
      <c r="M156" s="37">
        <f>M152+M153+M154+M155</f>
        <v/>
      </c>
    </row>
    <row r="157">
      <c r="B157" s="88" t="inlineStr">
        <is>
          <t xml:space="preserve">   PV of FCF</t>
        </is>
      </c>
      <c r="D157" s="35">
        <f>D156*DCF!D$17/(1+$N$157)^DCF!D$18</f>
        <v/>
      </c>
      <c r="E157" s="35">
        <f>E156*DCF!E$17/(1+$N$157)^DCF!E$18</f>
        <v/>
      </c>
      <c r="F157" s="35">
        <f>F156*DCF!F$17/(1+$N$157)^DCF!F$18</f>
        <v/>
      </c>
      <c r="G157" s="35">
        <f>G156*DCF!G$17/(1+$N$157)^DCF!G$18</f>
        <v/>
      </c>
      <c r="H157" s="35">
        <f>H156*DCF!H$17/(1+$N$157)^DCF!H$18</f>
        <v/>
      </c>
      <c r="I157" s="35">
        <f>I156*DCF!I$17/(1+$N$157)^DCF!I$18</f>
        <v/>
      </c>
      <c r="J157" s="35">
        <f>J156*DCF!J$17/(1+$N$157)^DCF!J$18</f>
        <v/>
      </c>
      <c r="K157" s="35">
        <f>K156*DCF!K$17/(1+$N$157)^DCF!K$18</f>
        <v/>
      </c>
      <c r="L157" s="35">
        <f>L156*DCF!L$17/(1+$N$157)^DCF!L$18</f>
        <v/>
      </c>
      <c r="M157" s="35">
        <f>M156*DCF!M$17/(1+$N$157)^DCF!M$18</f>
        <v/>
      </c>
      <c r="N157" s="46">
        <f>DCF!$C$14+Assumptions!$I$76</f>
        <v/>
      </c>
    </row>
    <row r="158">
      <c r="N158" s="46">
        <f>Assumptions!$I$77</f>
        <v/>
      </c>
    </row>
    <row r="159">
      <c r="B159" s="87" t="inlineStr">
        <is>
          <t xml:space="preserve">   Q Dominant value per share</t>
        </is>
      </c>
      <c r="C159" s="63">
        <f>(SUM(D157:M157)+M156*(1+$N$158)/($N$157-$N$158)/(1+$N$157)^DCF!$M$18+DCF!$C$31-DCF!$C$32)/DCF!$C$34</f>
        <v/>
      </c>
    </row>
    <row r="160" ht="4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</row>
    <row r="161">
      <c r="B161" s="25" t="inlineStr">
        <is>
          <t>Francisco Rodriguez  |  Financial Modeling Portfolio  |  github.com/Azyo1</t>
        </is>
      </c>
    </row>
  </sheetData>
  <mergeCells count="26">
    <mergeCell ref="B2:M2"/>
    <mergeCell ref="C15:D15"/>
    <mergeCell ref="B3:I3"/>
    <mergeCell ref="C14:D14"/>
    <mergeCell ref="E14:F14"/>
    <mergeCell ref="E17:F17"/>
    <mergeCell ref="G17:H17"/>
    <mergeCell ref="B12:I12"/>
    <mergeCell ref="C16:D16"/>
    <mergeCell ref="E19:F19"/>
    <mergeCell ref="G19:H19"/>
    <mergeCell ref="E13:F13"/>
    <mergeCell ref="G13:H13"/>
    <mergeCell ref="G18:H18"/>
    <mergeCell ref="E15:F15"/>
    <mergeCell ref="G15:H15"/>
    <mergeCell ref="G14:H14"/>
    <mergeCell ref="C17:D17"/>
    <mergeCell ref="E16:F16"/>
    <mergeCell ref="G16:H16"/>
    <mergeCell ref="C19:D19"/>
    <mergeCell ref="B46:M46"/>
    <mergeCell ref="C13:D13"/>
    <mergeCell ref="C18:D18"/>
    <mergeCell ref="E18:F18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2026-10-15T12:35:33Z</dcterms:created>
  <dcterms:modified xsi:type="dcterms:W3CDTF">2026-10-15T12:35:33Z</dcterms:modified>
</cp:coreProperties>
</file>