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Operating Model" sheetId="3" state="visible" r:id="rId3"/>
    <sheet name="DCF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&quot;$&quot;0.00"/>
    <numFmt numFmtId="167" formatCode="0.0&quot;x&quot;"/>
    <numFmt numFmtId="168" formatCode="0.00x"/>
    <numFmt numFmtId="169" formatCode="0.0000"/>
    <numFmt numFmtId="170" formatCode="&quot;$&quot;#,##0&quot;M&quot;"/>
    <numFmt numFmtId="171" formatCode="+0.0%;-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17375E"/>
      <sz val="10"/>
    </font>
    <font>
      <name val="Calibri"/>
      <i val="1"/>
      <color rgb="00444444"/>
      <sz val="8"/>
    </font>
    <font>
      <name val="Calibri"/>
      <color rgb="00444444"/>
      <sz val="9"/>
    </font>
    <font>
      <name val="Calibri"/>
      <i val="1"/>
      <color rgb="009E9E9E"/>
      <sz val="7.5"/>
    </font>
    <font>
      <name val="Calibri"/>
      <color rgb="00375623"/>
      <sz val="10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F3864"/>
      <sz val="11"/>
    </font>
    <font>
      <name val="Calibri"/>
      <color rgb="00000000"/>
      <sz val="9"/>
    </font>
    <font>
      <name val="Calibri"/>
      <b val="1"/>
      <color rgb="001F3864"/>
      <sz val="10"/>
    </font>
    <font>
      <name val="Calibri"/>
      <i val="1"/>
      <color rgb="00767676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BE5F1"/>
      </patternFill>
    </fill>
    <fill>
      <patternFill patternType="solid">
        <fgColor rgb="00EBF1D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9" fillId="2" borderId="0" pivotButton="0" quotePrefix="0" xfId="0"/>
    <xf numFmtId="0" fontId="1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center" vertical="center"/>
    </xf>
    <xf numFmtId="171" fontId="11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indent="1"/>
    </xf>
    <xf numFmtId="164" fontId="4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2" fontId="4" fillId="4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167" fontId="4" fillId="4" borderId="0" applyAlignment="1" pivotButton="0" quotePrefix="0" xfId="0">
      <alignment horizontal="right" vertical="center"/>
    </xf>
    <xf numFmtId="168" fontId="4" fillId="4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2" fontId="8" fillId="5" borderId="0" applyAlignment="1" pivotButton="0" quotePrefix="0" xfId="0">
      <alignment horizontal="right" vertical="center"/>
    </xf>
    <xf numFmtId="10" fontId="2" fillId="6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169" fontId="3" fillId="0" borderId="0" applyAlignment="1" pivotButton="0" quotePrefix="0" xfId="0">
      <alignment horizontal="right" vertical="center"/>
    </xf>
    <xf numFmtId="167" fontId="8" fillId="5" borderId="0" applyAlignment="1" pivotButton="0" quotePrefix="0" xfId="0">
      <alignment horizontal="right" vertical="center"/>
    </xf>
    <xf numFmtId="166" fontId="2" fillId="6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49" fontId="2" fillId="6" borderId="0" applyAlignment="1" pivotButton="0" quotePrefix="0" xfId="0">
      <alignment horizontal="right" vertical="center"/>
    </xf>
    <xf numFmtId="167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2" fillId="6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36" customHeight="1">
      <c r="B2" s="1" t="inlineStr">
        <is>
          <t>NAUTILUS BIOTECHNOLOGY (NASDAQ: NAUT)</t>
        </is>
      </c>
    </row>
    <row r="3" ht="22" customHeight="1">
      <c r="B3" s="2" t="inlineStr">
        <is>
          <t>Equity Research — Initiation of Coverage | Discounted Cash Flow Valuation</t>
        </is>
      </c>
    </row>
    <row r="6">
      <c r="B6" s="3" t="inlineStr"/>
      <c r="C6" s="3" t="inlineStr">
        <is>
          <t>Current</t>
        </is>
      </c>
      <c r="D6" s="3" t="inlineStr">
        <is>
          <t>Target</t>
        </is>
      </c>
      <c r="E6" s="3" t="inlineStr">
        <is>
          <t>Upside / Downside</t>
        </is>
      </c>
      <c r="F6" s="3" t="inlineStr">
        <is>
          <t>Rating</t>
        </is>
      </c>
    </row>
    <row r="7">
      <c r="B7" s="4" t="inlineStr">
        <is>
          <t>Stock Price / Price Target</t>
        </is>
      </c>
      <c r="C7" s="5">
        <f>DCF!C32</f>
        <v/>
      </c>
      <c r="D7" s="5">
        <f>DCF!C37</f>
        <v/>
      </c>
      <c r="E7" s="6">
        <f>DCF!C38</f>
        <v/>
      </c>
      <c r="F7" s="7">
        <f>DCF!C39</f>
        <v/>
      </c>
    </row>
    <row r="9">
      <c r="B9" s="8" t="inlineStr">
        <is>
          <t>COMPANY SNAPSHOT</t>
        </is>
      </c>
    </row>
    <row r="10">
      <c r="B10" s="4" t="inlineStr">
        <is>
          <t>Ticker</t>
        </is>
      </c>
      <c r="C10" s="9" t="inlineStr">
        <is>
          <t>NAUT</t>
        </is>
      </c>
      <c r="D10" s="4" t="inlineStr">
        <is>
          <t>Market Cap ($M)</t>
        </is>
      </c>
      <c r="E10" s="9">
        <f>DCF!C32*DCF!C30</f>
        <v/>
      </c>
    </row>
    <row r="11">
      <c r="B11" s="4" t="inlineStr">
        <is>
          <t>Exchange</t>
        </is>
      </c>
      <c r="C11" s="9" t="inlineStr">
        <is>
          <t>NASDAQ</t>
        </is>
      </c>
      <c r="D11" s="4" t="inlineStr">
        <is>
          <t>Enterprise Value ($M)</t>
        </is>
      </c>
      <c r="E11" s="9">
        <f>DCF!C32*DCF!C30-DCF!C28</f>
        <v/>
      </c>
    </row>
    <row r="12">
      <c r="B12" s="4" t="inlineStr">
        <is>
          <t>Stage</t>
        </is>
      </c>
      <c r="C12" s="9" t="inlineStr">
        <is>
          <t>Pre-Revenue</t>
        </is>
      </c>
      <c r="D12" s="4" t="inlineStr">
        <is>
          <t>Net Cash ($M)</t>
        </is>
      </c>
      <c r="E12" s="9">
        <f>DCF!C28</f>
        <v/>
      </c>
    </row>
    <row r="13">
      <c r="B13" s="4" t="inlineStr">
        <is>
          <t>Sector</t>
        </is>
      </c>
      <c r="C13" s="9" t="inlineStr">
        <is>
          <t>Life Sci Tools</t>
        </is>
      </c>
      <c r="D13" s="4" t="inlineStr">
        <is>
          <t>Net Cash / Share</t>
        </is>
      </c>
      <c r="E13" s="10">
        <f>DCF!C28/DCF!C30</f>
        <v/>
      </c>
    </row>
    <row r="14">
      <c r="B14" s="4" t="inlineStr">
        <is>
          <t>Shares Outstanding (M)</t>
        </is>
      </c>
      <c r="C14" s="9">
        <f>DCF!C30</f>
        <v/>
      </c>
      <c r="D14" s="4" t="inlineStr">
        <is>
          <t>2026E Cash Burn (UFCF, $M)</t>
        </is>
      </c>
      <c r="E14" s="9">
        <f>-'Operating Model'!C23</f>
        <v/>
      </c>
    </row>
    <row r="15">
      <c r="B15" s="4" t="inlineStr">
        <is>
          <t>52-Week Range</t>
        </is>
      </c>
      <c r="C15" s="9">
        <f>TEXT(Assumptions!$C$26,"$0.00")&amp;" – "&amp;TEXT(Assumptions!$C$27,"$0.00")</f>
        <v/>
      </c>
      <c r="D15" s="4" t="inlineStr">
        <is>
          <t>Funding Gap to FCF+ ($M)</t>
        </is>
      </c>
      <c r="E15" s="9">
        <f>DCF!C41</f>
        <v/>
      </c>
    </row>
    <row r="17">
      <c r="B17" s="8" t="inlineStr">
        <is>
          <t>INVESTMENT THESIS</t>
        </is>
      </c>
    </row>
    <row r="18">
      <c r="B18" s="4" t="inlineStr">
        <is>
          <t>1. Voyager Platform Differentiation</t>
        </is>
      </c>
    </row>
    <row r="19" ht="48" customHeight="1">
      <c r="B19" s="11" t="inlineStr">
        <is>
          <t>Nautilus' single-molecule Iterative Mapping platform quantifies 10B+ intact protein molecules simultaneously with 1.5% CV — ~27x more reproducible than legacy mass spectrometry. The first Tau Proteoforms Assay targets Alzheimer's biomarker discovery.</t>
        </is>
      </c>
    </row>
    <row r="21">
      <c r="B21" s="4" t="inlineStr">
        <is>
          <t>2. Razor / Blade Economics at Scale</t>
        </is>
      </c>
    </row>
    <row r="22" ht="48" customHeight="1">
      <c r="B22" s="11" t="inlineStr">
        <is>
          <t>Instrument placements (~$1M ASP) drive high-margin consumable pull-through. At 200+ installed instruments by 2032E, recurring consumables become the majority of revenue, expanding gross margin from ~50% at launch toward 65%.</t>
        </is>
      </c>
    </row>
    <row r="24">
      <c r="B24" s="4" t="inlineStr">
        <is>
          <t>3. Deep Value vs. Intrinsic Worth</t>
        </is>
      </c>
    </row>
    <row r="25" ht="48" customHeight="1">
      <c r="B25" s="11">
        <f>"At "&amp;TEXT(DCF!C32,"$0.00")&amp;", NAUT trades at an EV of ~"&amp;TEXT(DCF!C32*DCF!C30-DCF!C28,"$0")&amp;"M with commercial launch ahead. Our base-case DCF is "&amp;TEXT(DCF!C31,"$0.00")&amp;" and the probability-weighted PT is "&amp;TEXT(DCF!C37,"$0.00")&amp;". Key risk: ~"&amp;TEXT(DCF!C41,"$0")&amp;"M of equity must be raised before FCF turns positive."</f>
        <v/>
      </c>
    </row>
    <row r="27">
      <c r="B27" s="4" t="inlineStr">
        <is>
          <t>4. Proteomics Market Inflection</t>
        </is>
      </c>
    </row>
    <row r="28" ht="48" customHeight="1">
      <c r="B28" s="11" t="inlineStr">
        <is>
          <t>The global proteomics market is projected to reach ~$66B by 2030 at a ~12% CAGR. Adoption is at an early inflection analogous to next-gen sequencing in 2007–2010, with biopharma drug discovery the long-term driver.</t>
        </is>
      </c>
    </row>
    <row r="31">
      <c r="B31" s="8" t="inlineStr">
        <is>
          <t>VALUATION SUMMARY</t>
        </is>
      </c>
    </row>
    <row r="32">
      <c r="B32" s="3" t="inlineStr">
        <is>
          <t>Scenario</t>
        </is>
      </c>
      <c r="C32" s="3" t="inlineStr">
        <is>
          <t>WACC</t>
        </is>
      </c>
      <c r="D32" s="3" t="inlineStr">
        <is>
          <t>Terminal EV/Rev</t>
        </is>
      </c>
      <c r="E32" s="3" t="inlineStr">
        <is>
          <t>Revenue (2035E)</t>
        </is>
      </c>
      <c r="F32" s="3" t="inlineStr">
        <is>
          <t>Value / Share</t>
        </is>
      </c>
      <c r="G32" s="3" t="inlineStr">
        <is>
          <t>Upside</t>
        </is>
      </c>
    </row>
    <row r="33">
      <c r="B33" s="12" t="inlineStr">
        <is>
          <t>Bull Case</t>
        </is>
      </c>
      <c r="C33" s="13">
        <f>Sensitivity!C29</f>
        <v/>
      </c>
      <c r="D33" s="14">
        <f>Sensitivity!E29</f>
        <v/>
      </c>
      <c r="E33" s="15">
        <f>Sensitivity!D29</f>
        <v/>
      </c>
      <c r="F33" s="16">
        <f>Sensitivity!I29</f>
        <v/>
      </c>
      <c r="G33" s="17">
        <f>Sensitivity!J29</f>
        <v/>
      </c>
    </row>
    <row r="34">
      <c r="B34" s="4" t="inlineStr">
        <is>
          <t>Base Case ★</t>
        </is>
      </c>
      <c r="C34" s="13">
        <f>Sensitivity!C30</f>
        <v/>
      </c>
      <c r="D34" s="14">
        <f>Sensitivity!E30</f>
        <v/>
      </c>
      <c r="E34" s="15">
        <f>Sensitivity!D30</f>
        <v/>
      </c>
      <c r="F34" s="16">
        <f>Sensitivity!I30</f>
        <v/>
      </c>
      <c r="G34" s="17">
        <f>Sensitivity!J30</f>
        <v/>
      </c>
    </row>
    <row r="35">
      <c r="B35" s="12" t="inlineStr">
        <is>
          <t>Bear Case</t>
        </is>
      </c>
      <c r="C35" s="13">
        <f>Sensitivity!C31</f>
        <v/>
      </c>
      <c r="D35" s="14">
        <f>Sensitivity!E31</f>
        <v/>
      </c>
      <c r="E35" s="15">
        <f>Sensitivity!D31</f>
        <v/>
      </c>
      <c r="F35" s="16">
        <f>Sensitivity!I31</f>
        <v/>
      </c>
      <c r="G35" s="17">
        <f>Sensitivity!J31</f>
        <v/>
      </c>
    </row>
    <row r="36">
      <c r="B36" s="4" t="inlineStr">
        <is>
          <t>Probability-Weighted PT</t>
        </is>
      </c>
      <c r="F36" s="18">
        <f>DCF!C37</f>
        <v/>
      </c>
      <c r="G36" s="17">
        <f>DCF!C38</f>
        <v/>
      </c>
    </row>
    <row r="38">
      <c r="B38" s="19" t="inlineStr">
        <is>
          <t>Francisco Rodriguez  |  April 2026  |  All figures in USD unless noted</t>
        </is>
      </c>
    </row>
    <row r="40" ht="12" customHeight="1">
      <c r="B40" s="20" t="inlineStr">
        <is>
          <t>Francisco Rodriguez  |  Financial Modeling Portfolio  |  github.com/Azyo1</t>
        </is>
      </c>
    </row>
  </sheetData>
  <mergeCells count="10">
    <mergeCell ref="B3:G3"/>
    <mergeCell ref="B2:G2"/>
    <mergeCell ref="B19:G19"/>
    <mergeCell ref="B28:G28"/>
    <mergeCell ref="B22:G22"/>
    <mergeCell ref="B31:G31"/>
    <mergeCell ref="B17:G17"/>
    <mergeCell ref="B9:G9"/>
    <mergeCell ref="B40:G40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B1" s="8" t="inlineStr">
        <is>
          <t>ASSUMPTIONS — ALL HARDCODED INPUTS (BLUE CELLS)  ·  $M unless noted</t>
        </is>
      </c>
    </row>
    <row r="3">
      <c r="B3" s="8" t="inlineStr">
        <is>
          <t>OPERATING ASSUMPTIONS (BASE CASE)</t>
        </is>
      </c>
    </row>
    <row r="4">
      <c r="B4" s="4" t="inlineStr">
        <is>
          <t>Fiscal Year</t>
        </is>
      </c>
      <c r="C4" s="3" t="inlineStr">
        <is>
          <t>2026E</t>
        </is>
      </c>
      <c r="D4" s="3" t="inlineStr">
        <is>
          <t>2027E</t>
        </is>
      </c>
      <c r="E4" s="3" t="inlineStr">
        <is>
          <t>2028E</t>
        </is>
      </c>
      <c r="F4" s="3" t="inlineStr">
        <is>
          <t>2029E</t>
        </is>
      </c>
      <c r="G4" s="3" t="inlineStr">
        <is>
          <t>2030E</t>
        </is>
      </c>
      <c r="H4" s="3" t="inlineStr">
        <is>
          <t>2031E</t>
        </is>
      </c>
      <c r="I4" s="3" t="inlineStr">
        <is>
          <t>2032E</t>
        </is>
      </c>
      <c r="J4" s="3" t="inlineStr">
        <is>
          <t>2033E</t>
        </is>
      </c>
      <c r="K4" s="3" t="inlineStr">
        <is>
          <t>2034E</t>
        </is>
      </c>
      <c r="L4" s="3" t="inlineStr">
        <is>
          <t>2035E</t>
        </is>
      </c>
    </row>
    <row r="5">
      <c r="B5" s="21" t="inlineStr">
        <is>
          <t>Revenue ($M)</t>
        </is>
      </c>
      <c r="C5" s="22" t="n">
        <v>0.5</v>
      </c>
      <c r="D5" s="22" t="n">
        <v>8</v>
      </c>
      <c r="E5" s="22" t="n">
        <v>30</v>
      </c>
      <c r="F5" s="22" t="n">
        <v>70</v>
      </c>
      <c r="G5" s="22" t="n">
        <v>130</v>
      </c>
      <c r="H5" s="22" t="n">
        <v>200</v>
      </c>
      <c r="I5" s="22" t="n">
        <v>280</v>
      </c>
      <c r="J5" s="22" t="n">
        <v>360</v>
      </c>
      <c r="K5" s="22" t="n">
        <v>430</v>
      </c>
      <c r="L5" s="22" t="n">
        <v>490</v>
      </c>
    </row>
    <row r="6">
      <c r="B6" s="21" t="inlineStr">
        <is>
          <t>Gross Margin %</t>
        </is>
      </c>
      <c r="C6" s="23" t="n">
        <v>0.6</v>
      </c>
      <c r="D6" s="23" t="n">
        <v>0.5</v>
      </c>
      <c r="E6" s="23" t="n">
        <v>0.52</v>
      </c>
      <c r="F6" s="23" t="n">
        <v>0.55</v>
      </c>
      <c r="G6" s="23" t="n">
        <v>0.6</v>
      </c>
      <c r="H6" s="23" t="n">
        <v>0.63</v>
      </c>
      <c r="I6" s="23" t="n">
        <v>0.65</v>
      </c>
      <c r="J6" s="23" t="n">
        <v>0.65</v>
      </c>
      <c r="K6" s="23" t="n">
        <v>0.65</v>
      </c>
      <c r="L6" s="23" t="n">
        <v>0.65</v>
      </c>
    </row>
    <row r="7">
      <c r="B7" s="21" t="inlineStr">
        <is>
          <t>Research &amp; Development ($M)</t>
        </is>
      </c>
      <c r="C7" s="22" t="n">
        <v>50</v>
      </c>
      <c r="D7" s="22" t="n">
        <v>55</v>
      </c>
      <c r="E7" s="22" t="n">
        <v>60</v>
      </c>
      <c r="F7" s="22" t="n">
        <v>65</v>
      </c>
      <c r="G7" s="22" t="n">
        <v>70</v>
      </c>
      <c r="H7" s="22" t="n">
        <v>72</v>
      </c>
      <c r="I7" s="22" t="n">
        <v>74</v>
      </c>
      <c r="J7" s="22" t="n">
        <v>76</v>
      </c>
      <c r="K7" s="22" t="n">
        <v>78</v>
      </c>
      <c r="L7" s="22" t="n">
        <v>80</v>
      </c>
    </row>
    <row r="8">
      <c r="B8" s="21" t="inlineStr">
        <is>
          <t>General &amp; Administrative ($M)</t>
        </is>
      </c>
      <c r="C8" s="22" t="n">
        <v>28</v>
      </c>
      <c r="D8" s="22" t="n">
        <v>30</v>
      </c>
      <c r="E8" s="22" t="n">
        <v>32</v>
      </c>
      <c r="F8" s="22" t="n">
        <v>34</v>
      </c>
      <c r="G8" s="22" t="n">
        <v>36</v>
      </c>
      <c r="H8" s="22" t="n">
        <v>38</v>
      </c>
      <c r="I8" s="22" t="n">
        <v>40</v>
      </c>
      <c r="J8" s="22" t="n">
        <v>40</v>
      </c>
      <c r="K8" s="22" t="n">
        <v>41</v>
      </c>
      <c r="L8" s="22" t="n">
        <v>42</v>
      </c>
    </row>
    <row r="9">
      <c r="B9" s="21" t="inlineStr">
        <is>
          <t>Depreciation &amp; Amortization ($M)</t>
        </is>
      </c>
      <c r="C9" s="22" t="n">
        <v>5</v>
      </c>
      <c r="D9" s="22" t="n">
        <v>5</v>
      </c>
      <c r="E9" s="22" t="n">
        <v>5</v>
      </c>
      <c r="F9" s="22" t="n">
        <v>5</v>
      </c>
      <c r="G9" s="22" t="n">
        <v>5</v>
      </c>
      <c r="H9" s="22" t="n">
        <v>5</v>
      </c>
      <c r="I9" s="22" t="n">
        <v>5</v>
      </c>
      <c r="J9" s="22" t="n">
        <v>5</v>
      </c>
      <c r="K9" s="22" t="n">
        <v>5</v>
      </c>
      <c r="L9" s="22" t="n">
        <v>5</v>
      </c>
    </row>
    <row r="10">
      <c r="B10" s="21" t="inlineStr">
        <is>
          <t>Capital Expenditures ($M)</t>
        </is>
      </c>
      <c r="C10" s="22" t="n">
        <v>12</v>
      </c>
      <c r="D10" s="22" t="n">
        <v>15</v>
      </c>
      <c r="E10" s="22" t="n">
        <v>15</v>
      </c>
      <c r="F10" s="22" t="n">
        <v>12</v>
      </c>
      <c r="G10" s="22" t="n">
        <v>12</v>
      </c>
      <c r="H10" s="22" t="n">
        <v>10</v>
      </c>
      <c r="I10" s="22" t="n">
        <v>10</v>
      </c>
      <c r="J10" s="22" t="n">
        <v>10</v>
      </c>
      <c r="K10" s="22" t="n">
        <v>10</v>
      </c>
      <c r="L10" s="22" t="n">
        <v>10</v>
      </c>
    </row>
    <row r="11">
      <c r="B11" s="21" t="inlineStr">
        <is>
          <t>Δ NWC — % of Δ Revenue</t>
        </is>
      </c>
      <c r="C11" s="23" t="n">
        <v>0</v>
      </c>
      <c r="D11" s="23" t="n">
        <v>0.2</v>
      </c>
      <c r="E11" s="23" t="n">
        <v>0.2</v>
      </c>
      <c r="F11" s="23" t="n">
        <v>0.2</v>
      </c>
      <c r="G11" s="23" t="n">
        <v>0.2</v>
      </c>
      <c r="H11" s="23" t="n">
        <v>0.2</v>
      </c>
      <c r="I11" s="23" t="n">
        <v>0.2</v>
      </c>
      <c r="J11" s="23" t="n">
        <v>0.2</v>
      </c>
      <c r="K11" s="23" t="n">
        <v>0.2</v>
      </c>
      <c r="L11" s="23" t="n">
        <v>0.2</v>
      </c>
    </row>
    <row r="12">
      <c r="B12" s="24" t="inlineStr">
        <is>
          <t>Revenue: ~8 instruments 2027E → ~310 installed by 2035E (instrument ~$1M ASP + consumables pull-through). Gross margin ramps from instrument-heavy 50% to 65% at scale. Opex per 2026E guidance (~$77–80M).</t>
        </is>
      </c>
    </row>
    <row r="13">
      <c r="B13" s="8" t="inlineStr">
        <is>
          <t>TAX &amp; DISCOUNT RATE</t>
        </is>
      </c>
    </row>
    <row r="14">
      <c r="B14" s="21" t="inlineStr">
        <is>
          <t>Tax Rate (applied only when EBIT &gt; 0)</t>
        </is>
      </c>
      <c r="C14" s="23" t="n">
        <v>0.25</v>
      </c>
      <c r="D14" s="25" t="inlineStr">
        <is>
          <t>NOL carryforward not modeled (conservative)</t>
        </is>
      </c>
    </row>
    <row r="15">
      <c r="B15" s="21" t="inlineStr">
        <is>
          <t>Risk-Free Rate (10-yr UST)</t>
        </is>
      </c>
      <c r="C15" s="23" t="n">
        <v>0.045</v>
      </c>
      <c r="D15" s="25" t="inlineStr">
        <is>
          <t>March 2026</t>
        </is>
      </c>
    </row>
    <row r="16">
      <c r="B16" s="21" t="inlineStr">
        <is>
          <t>Equity Risk Premium</t>
        </is>
      </c>
      <c r="C16" s="23" t="n">
        <v>0.055</v>
      </c>
      <c r="D16" s="25" t="inlineStr">
        <is>
          <t>Damodaran US ERP</t>
        </is>
      </c>
    </row>
    <row r="17">
      <c r="B17" s="21" t="inlineStr">
        <is>
          <t>Beta (relevered)</t>
        </is>
      </c>
      <c r="C17" s="26" t="n">
        <v>1.8</v>
      </c>
      <c r="D17" s="25" t="inlineStr">
        <is>
          <t>Pre-commercial tools / biotech peers (Seer, QSI) ~1.8</t>
        </is>
      </c>
    </row>
    <row r="18">
      <c r="B18" s="21" t="inlineStr">
        <is>
          <t>Size &amp; Illiquidity Premium</t>
        </is>
      </c>
      <c r="C18" s="23" t="n">
        <v>0.05</v>
      </c>
      <c r="D18" s="25" t="inlineStr">
        <is>
          <t>Pre-revenue micro-cap; all-equity capital structure</t>
        </is>
      </c>
    </row>
    <row r="20">
      <c r="B20" s="8" t="inlineStr">
        <is>
          <t>BALANCE SHEET (FY2025A) &amp; MARKET DATA</t>
        </is>
      </c>
    </row>
    <row r="21">
      <c r="B21" s="21" t="inlineStr">
        <is>
          <t>Cash &amp; Equivalents ($M)</t>
        </is>
      </c>
      <c r="C21" s="22" t="n">
        <v>12.4</v>
      </c>
      <c r="D21" s="25" t="inlineStr">
        <is>
          <t>FY2025 10-K</t>
        </is>
      </c>
    </row>
    <row r="22">
      <c r="B22" s="21" t="inlineStr">
        <is>
          <t>Short-Term Investments ($M)</t>
        </is>
      </c>
      <c r="C22" s="22" t="n">
        <v>91</v>
      </c>
      <c r="D22" s="25" t="inlineStr">
        <is>
          <t>FY2025 10-K</t>
        </is>
      </c>
    </row>
    <row r="23">
      <c r="B23" s="21" t="inlineStr">
        <is>
          <t>Long-Term Investments ($M)</t>
        </is>
      </c>
      <c r="C23" s="22" t="n">
        <v>52.7</v>
      </c>
      <c r="D23" s="25" t="inlineStr">
        <is>
          <t>FY2025 10-K; no material debt</t>
        </is>
      </c>
    </row>
    <row r="24">
      <c r="B24" s="21" t="inlineStr">
        <is>
          <t>Shares Outstanding (M)</t>
        </is>
      </c>
      <c r="C24" s="22" t="n">
        <v>126.6</v>
      </c>
      <c r="D24" s="25" t="inlineStr">
        <is>
          <t>FY2025 10-K weighted average</t>
        </is>
      </c>
    </row>
    <row r="25">
      <c r="B25" s="21" t="inlineStr">
        <is>
          <t>Current Share Price ($)</t>
        </is>
      </c>
      <c r="C25" s="27" t="n">
        <v>2.97</v>
      </c>
      <c r="D25" s="25" t="inlineStr">
        <is>
          <t>April 2026</t>
        </is>
      </c>
    </row>
    <row r="26">
      <c r="B26" s="21" t="inlineStr">
        <is>
          <t>52-Week Low ($)</t>
        </is>
      </c>
      <c r="C26" s="27" t="n">
        <v>1.49</v>
      </c>
    </row>
    <row r="27">
      <c r="B27" s="21" t="inlineStr">
        <is>
          <t>52-Week High ($)</t>
        </is>
      </c>
      <c r="C27" s="27" t="n">
        <v>4.25</v>
      </c>
    </row>
    <row r="28">
      <c r="B28" s="21" t="inlineStr">
        <is>
          <t>Terminal EV / Revenue (Base)</t>
        </is>
      </c>
      <c r="C28" s="28" t="n">
        <v>8</v>
      </c>
      <c r="D28" s="25" t="inlineStr">
        <is>
          <t>Mature tools comps: Illumina ~8x, Bruker ~6x</t>
        </is>
      </c>
    </row>
    <row r="29">
      <c r="B29" s="21" t="inlineStr">
        <is>
          <t>FY2025A Revenue Base for ΔNWC ($M)</t>
        </is>
      </c>
      <c r="C29" s="22" t="n">
        <v>0.5</v>
      </c>
      <c r="D29" s="25" t="inlineStr">
        <is>
          <t>Set equal to 2026E so 2026E ΔNWC = 0</t>
        </is>
      </c>
    </row>
    <row r="31">
      <c r="B31" s="8" t="inlineStr">
        <is>
          <t>RATING, ROUNDING &amp; SENSITIVITY</t>
        </is>
      </c>
    </row>
    <row r="32">
      <c r="B32" s="21" t="inlineStr">
        <is>
          <t>Overweight if PT upside ≥</t>
        </is>
      </c>
      <c r="C32" s="23" t="n">
        <v>0.1</v>
      </c>
    </row>
    <row r="33">
      <c r="B33" s="21" t="inlineStr">
        <is>
          <t>Underweight if PT upside ≤</t>
        </is>
      </c>
      <c r="C33" s="23" t="n">
        <v>-0.1</v>
      </c>
      <c r="D33" s="25" t="inlineStr">
        <is>
          <t>Otherwise Equal-Weight</t>
        </is>
      </c>
    </row>
    <row r="34">
      <c r="B34" s="21" t="inlineStr">
        <is>
          <t>Round PT to nearest ($)</t>
        </is>
      </c>
      <c r="C34" s="27" t="n">
        <v>0.25</v>
      </c>
    </row>
    <row r="35">
      <c r="B35" s="21" t="inlineStr">
        <is>
          <t>Sensitivity Step — WACC</t>
        </is>
      </c>
      <c r="C35" s="23" t="n">
        <v>0.02</v>
      </c>
    </row>
    <row r="36">
      <c r="B36" s="21" t="inlineStr">
        <is>
          <t>Sensitivity Step — EV/Revenue</t>
        </is>
      </c>
      <c r="C36" s="28" t="n">
        <v>1</v>
      </c>
    </row>
    <row r="37">
      <c r="B37" s="21" t="inlineStr">
        <is>
          <t>Sensitivity Step — Terminal Revenue</t>
        </is>
      </c>
      <c r="C37" s="23" t="n">
        <v>0.2</v>
      </c>
      <c r="D37" s="25" t="inlineStr">
        <is>
          <t>± % of base 2035E revenue</t>
        </is>
      </c>
    </row>
    <row r="38">
      <c r="B38" s="21" t="inlineStr">
        <is>
          <t>Minimum Cash Buffer ($M)</t>
        </is>
      </c>
      <c r="C38" s="22" t="n">
        <v>30</v>
      </c>
      <c r="D38" s="25" t="inlineStr">
        <is>
          <t>Used only for the funding-gap disclosure</t>
        </is>
      </c>
    </row>
    <row r="40">
      <c r="B40" s="8" t="inlineStr">
        <is>
          <t>SCENARIOS  (revenue scale applies to every year; opex unchanged)</t>
        </is>
      </c>
    </row>
    <row r="41">
      <c r="B41" s="4" t="inlineStr">
        <is>
          <t>Parameter</t>
        </is>
      </c>
      <c r="C41" s="3" t="inlineStr">
        <is>
          <t>Bull</t>
        </is>
      </c>
      <c r="D41" s="3" t="inlineStr">
        <is>
          <t>Base</t>
        </is>
      </c>
      <c r="E41" s="3" t="inlineStr">
        <is>
          <t>Bear</t>
        </is>
      </c>
    </row>
    <row r="42">
      <c r="B42" s="21" t="inlineStr">
        <is>
          <t>Revenue scale vs. base</t>
        </is>
      </c>
      <c r="C42" s="29" t="n">
        <v>1.428571428571429</v>
      </c>
      <c r="D42" s="29" t="n">
        <v>1</v>
      </c>
      <c r="E42" s="29" t="n">
        <v>0.4081632653061225</v>
      </c>
    </row>
    <row r="43">
      <c r="B43" s="21" t="inlineStr">
        <is>
          <t>WACC adj. vs. base (pp)</t>
        </is>
      </c>
      <c r="C43" s="23" t="n">
        <v>-0.03</v>
      </c>
      <c r="D43" s="23" t="n">
        <v>0</v>
      </c>
      <c r="E43" s="23" t="n">
        <v>0</v>
      </c>
    </row>
    <row r="44">
      <c r="B44" s="21" t="inlineStr">
        <is>
          <t>Terminal EV / Revenue</t>
        </is>
      </c>
      <c r="C44" s="28" t="n">
        <v>10</v>
      </c>
      <c r="D44" s="30">
        <f>$C$28</f>
        <v/>
      </c>
      <c r="E44" s="28" t="n">
        <v>6</v>
      </c>
    </row>
    <row r="45">
      <c r="B45" s="21" t="inlineStr">
        <is>
          <t>Probability weight → Price Target</t>
        </is>
      </c>
      <c r="C45" s="23" t="n">
        <v>0.25</v>
      </c>
      <c r="D45" s="23" t="n">
        <v>0.55</v>
      </c>
      <c r="E45" s="23" t="n">
        <v>0.2</v>
      </c>
    </row>
    <row r="46">
      <c r="B46" s="21" t="inlineStr">
        <is>
          <t xml:space="preserve">  Probability check (must = 100%)</t>
        </is>
      </c>
      <c r="C46" s="31">
        <f>SUM(C45:E45)</f>
        <v/>
      </c>
    </row>
    <row r="48" ht="12" customHeight="1">
      <c r="B48" s="20" t="inlineStr">
        <is>
          <t>Francisco Rodriguez  |  Financial Modeling Portfolio  |  github.com/Azyo1</t>
        </is>
      </c>
    </row>
  </sheetData>
  <mergeCells count="23">
    <mergeCell ref="D21:L21"/>
    <mergeCell ref="B3:L3"/>
    <mergeCell ref="D17:L17"/>
    <mergeCell ref="B31:L31"/>
    <mergeCell ref="D16:L16"/>
    <mergeCell ref="B12:L12"/>
    <mergeCell ref="D37:L37"/>
    <mergeCell ref="B48:L48"/>
    <mergeCell ref="D28:L28"/>
    <mergeCell ref="D18:L18"/>
    <mergeCell ref="D25:L25"/>
    <mergeCell ref="B1:L1"/>
    <mergeCell ref="D24:L24"/>
    <mergeCell ref="D15:L15"/>
    <mergeCell ref="D33:L33"/>
    <mergeCell ref="B13:L13"/>
    <mergeCell ref="D29:L29"/>
    <mergeCell ref="D23:L23"/>
    <mergeCell ref="D38:L38"/>
    <mergeCell ref="D14:L14"/>
    <mergeCell ref="B40:L40"/>
    <mergeCell ref="D22:L22"/>
    <mergeCell ref="B20:L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B1" s="8" t="inlineStr">
        <is>
          <t>OPERATING MODEL  ($M)</t>
        </is>
      </c>
    </row>
    <row r="2">
      <c r="B2" s="32" t="inlineStr">
        <is>
          <t>Year / Metric</t>
        </is>
      </c>
      <c r="C2" s="3" t="inlineStr">
        <is>
          <t>2026E</t>
        </is>
      </c>
      <c r="D2" s="3" t="inlineStr">
        <is>
          <t>2027E</t>
        </is>
      </c>
      <c r="E2" s="3" t="inlineStr">
        <is>
          <t>2028E</t>
        </is>
      </c>
      <c r="F2" s="3" t="inlineStr">
        <is>
          <t>2029E</t>
        </is>
      </c>
      <c r="G2" s="3" t="inlineStr">
        <is>
          <t>2030E</t>
        </is>
      </c>
      <c r="H2" s="3" t="inlineStr">
        <is>
          <t>2031E</t>
        </is>
      </c>
      <c r="I2" s="3" t="inlineStr">
        <is>
          <t>2032E</t>
        </is>
      </c>
      <c r="J2" s="3" t="inlineStr">
        <is>
          <t>2033E</t>
        </is>
      </c>
      <c r="K2" s="3" t="inlineStr">
        <is>
          <t>2034E</t>
        </is>
      </c>
      <c r="L2" s="3" t="inlineStr">
        <is>
          <t>2035E</t>
        </is>
      </c>
    </row>
    <row r="3">
      <c r="B3" s="8" t="inlineStr">
        <is>
          <t>REVENUE &amp; GROSS PROFIT</t>
        </is>
      </c>
    </row>
    <row r="4">
      <c r="B4" s="4" t="inlineStr">
        <is>
          <t>Total Revenue</t>
        </is>
      </c>
      <c r="C4" s="33">
        <f>Assumptions!C5</f>
        <v/>
      </c>
      <c r="D4" s="33">
        <f>Assumptions!D5</f>
        <v/>
      </c>
      <c r="E4" s="33">
        <f>Assumptions!E5</f>
        <v/>
      </c>
      <c r="F4" s="33">
        <f>Assumptions!F5</f>
        <v/>
      </c>
      <c r="G4" s="33">
        <f>Assumptions!G5</f>
        <v/>
      </c>
      <c r="H4" s="33">
        <f>Assumptions!H5</f>
        <v/>
      </c>
      <c r="I4" s="33">
        <f>Assumptions!I5</f>
        <v/>
      </c>
      <c r="J4" s="33">
        <f>Assumptions!J5</f>
        <v/>
      </c>
      <c r="K4" s="33">
        <f>Assumptions!K5</f>
        <v/>
      </c>
      <c r="L4" s="33">
        <f>Assumptions!L5</f>
        <v/>
      </c>
    </row>
    <row r="5">
      <c r="B5" s="12" t="inlineStr">
        <is>
          <t xml:space="preserve">  YoY Growth %</t>
        </is>
      </c>
      <c r="D5" s="31">
        <f>D4/C4-1</f>
        <v/>
      </c>
      <c r="E5" s="31">
        <f>E4/D4-1</f>
        <v/>
      </c>
      <c r="F5" s="31">
        <f>F4/E4-1</f>
        <v/>
      </c>
      <c r="G5" s="31">
        <f>G4/F4-1</f>
        <v/>
      </c>
      <c r="H5" s="31">
        <f>H4/G4-1</f>
        <v/>
      </c>
      <c r="I5" s="31">
        <f>I4/H4-1</f>
        <v/>
      </c>
      <c r="J5" s="31">
        <f>J4/I4-1</f>
        <v/>
      </c>
      <c r="K5" s="31">
        <f>K4/J4-1</f>
        <v/>
      </c>
      <c r="L5" s="31">
        <f>L4/K4-1</f>
        <v/>
      </c>
    </row>
    <row r="6">
      <c r="B6" s="4" t="inlineStr">
        <is>
          <t>Gross Profit</t>
        </is>
      </c>
      <c r="C6" s="34">
        <f>C4*Assumptions!C6</f>
        <v/>
      </c>
      <c r="D6" s="34">
        <f>D4*Assumptions!D6</f>
        <v/>
      </c>
      <c r="E6" s="34">
        <f>E4*Assumptions!E6</f>
        <v/>
      </c>
      <c r="F6" s="34">
        <f>F4*Assumptions!F6</f>
        <v/>
      </c>
      <c r="G6" s="34">
        <f>G4*Assumptions!G6</f>
        <v/>
      </c>
      <c r="H6" s="34">
        <f>H4*Assumptions!H6</f>
        <v/>
      </c>
      <c r="I6" s="34">
        <f>I4*Assumptions!I6</f>
        <v/>
      </c>
      <c r="J6" s="34">
        <f>J4*Assumptions!J6</f>
        <v/>
      </c>
      <c r="K6" s="34">
        <f>K4*Assumptions!K6</f>
        <v/>
      </c>
      <c r="L6" s="34">
        <f>L4*Assumptions!L6</f>
        <v/>
      </c>
    </row>
    <row r="7">
      <c r="B7" s="12" t="inlineStr">
        <is>
          <t xml:space="preserve">  Gross Margin %</t>
        </is>
      </c>
      <c r="C7" s="31">
        <f>C6/C4</f>
        <v/>
      </c>
      <c r="D7" s="31">
        <f>D6/D4</f>
        <v/>
      </c>
      <c r="E7" s="31">
        <f>E6/E4</f>
        <v/>
      </c>
      <c r="F7" s="31">
        <f>F6/F4</f>
        <v/>
      </c>
      <c r="G7" s="31">
        <f>G6/G4</f>
        <v/>
      </c>
      <c r="H7" s="31">
        <f>H6/H4</f>
        <v/>
      </c>
      <c r="I7" s="31">
        <f>I6/I4</f>
        <v/>
      </c>
      <c r="J7" s="31">
        <f>J6/J4</f>
        <v/>
      </c>
      <c r="K7" s="31">
        <f>K6/K4</f>
        <v/>
      </c>
      <c r="L7" s="31">
        <f>L6/L4</f>
        <v/>
      </c>
    </row>
    <row r="8">
      <c r="B8" s="8" t="inlineStr">
        <is>
          <t>OPERATING EXPENSES</t>
        </is>
      </c>
    </row>
    <row r="9">
      <c r="B9" s="4" t="inlineStr">
        <is>
          <t>Research &amp; Development</t>
        </is>
      </c>
      <c r="C9" s="33">
        <f>Assumptions!C7</f>
        <v/>
      </c>
      <c r="D9" s="33">
        <f>Assumptions!D7</f>
        <v/>
      </c>
      <c r="E9" s="33">
        <f>Assumptions!E7</f>
        <v/>
      </c>
      <c r="F9" s="33">
        <f>Assumptions!F7</f>
        <v/>
      </c>
      <c r="G9" s="33">
        <f>Assumptions!G7</f>
        <v/>
      </c>
      <c r="H9" s="33">
        <f>Assumptions!H7</f>
        <v/>
      </c>
      <c r="I9" s="33">
        <f>Assumptions!I7</f>
        <v/>
      </c>
      <c r="J9" s="33">
        <f>Assumptions!J7</f>
        <v/>
      </c>
      <c r="K9" s="33">
        <f>Assumptions!K7</f>
        <v/>
      </c>
      <c r="L9" s="33">
        <f>Assumptions!L7</f>
        <v/>
      </c>
    </row>
    <row r="10">
      <c r="B10" s="12" t="inlineStr">
        <is>
          <t xml:space="preserve">  R&amp;D % of Revenue</t>
        </is>
      </c>
      <c r="C10" s="31">
        <f>C9/C4</f>
        <v/>
      </c>
      <c r="D10" s="31">
        <f>D9/D4</f>
        <v/>
      </c>
      <c r="E10" s="31">
        <f>E9/E4</f>
        <v/>
      </c>
      <c r="F10" s="31">
        <f>F9/F4</f>
        <v/>
      </c>
      <c r="G10" s="31">
        <f>G9/G4</f>
        <v/>
      </c>
      <c r="H10" s="31">
        <f>H9/H4</f>
        <v/>
      </c>
      <c r="I10" s="31">
        <f>I9/I4</f>
        <v/>
      </c>
      <c r="J10" s="31">
        <f>J9/J4</f>
        <v/>
      </c>
      <c r="K10" s="31">
        <f>K9/K4</f>
        <v/>
      </c>
      <c r="L10" s="31">
        <f>L9/L4</f>
        <v/>
      </c>
    </row>
    <row r="11">
      <c r="B11" s="4" t="inlineStr">
        <is>
          <t>General &amp; Administrative</t>
        </is>
      </c>
      <c r="C11" s="33">
        <f>Assumptions!C8</f>
        <v/>
      </c>
      <c r="D11" s="33">
        <f>Assumptions!D8</f>
        <v/>
      </c>
      <c r="E11" s="33">
        <f>Assumptions!E8</f>
        <v/>
      </c>
      <c r="F11" s="33">
        <f>Assumptions!F8</f>
        <v/>
      </c>
      <c r="G11" s="33">
        <f>Assumptions!G8</f>
        <v/>
      </c>
      <c r="H11" s="33">
        <f>Assumptions!H8</f>
        <v/>
      </c>
      <c r="I11" s="33">
        <f>Assumptions!I8</f>
        <v/>
      </c>
      <c r="J11" s="33">
        <f>Assumptions!J8</f>
        <v/>
      </c>
      <c r="K11" s="33">
        <f>Assumptions!K8</f>
        <v/>
      </c>
      <c r="L11" s="33">
        <f>Assumptions!L8</f>
        <v/>
      </c>
    </row>
    <row r="12">
      <c r="B12" s="12" t="inlineStr">
        <is>
          <t>Depreciation &amp; Amortization</t>
        </is>
      </c>
      <c r="C12" s="33">
        <f>Assumptions!C9</f>
        <v/>
      </c>
      <c r="D12" s="33">
        <f>Assumptions!D9</f>
        <v/>
      </c>
      <c r="E12" s="33">
        <f>Assumptions!E9</f>
        <v/>
      </c>
      <c r="F12" s="33">
        <f>Assumptions!F9</f>
        <v/>
      </c>
      <c r="G12" s="33">
        <f>Assumptions!G9</f>
        <v/>
      </c>
      <c r="H12" s="33">
        <f>Assumptions!H9</f>
        <v/>
      </c>
      <c r="I12" s="33">
        <f>Assumptions!I9</f>
        <v/>
      </c>
      <c r="J12" s="33">
        <f>Assumptions!J9</f>
        <v/>
      </c>
      <c r="K12" s="33">
        <f>Assumptions!K9</f>
        <v/>
      </c>
      <c r="L12" s="33">
        <f>Assumptions!L9</f>
        <v/>
      </c>
    </row>
    <row r="13">
      <c r="B13" s="4" t="inlineStr">
        <is>
          <t>Total Operating Expenses</t>
        </is>
      </c>
      <c r="C13" s="35">
        <f>C9+C11+C12</f>
        <v/>
      </c>
      <c r="D13" s="35">
        <f>D9+D11+D12</f>
        <v/>
      </c>
      <c r="E13" s="35">
        <f>E9+E11+E12</f>
        <v/>
      </c>
      <c r="F13" s="35">
        <f>F9+F11+F12</f>
        <v/>
      </c>
      <c r="G13" s="35">
        <f>G9+G11+G12</f>
        <v/>
      </c>
      <c r="H13" s="35">
        <f>H9+H11+H12</f>
        <v/>
      </c>
      <c r="I13" s="35">
        <f>I9+I11+I12</f>
        <v/>
      </c>
      <c r="J13" s="35">
        <f>J9+J11+J12</f>
        <v/>
      </c>
      <c r="K13" s="35">
        <f>K9+K11+K12</f>
        <v/>
      </c>
      <c r="L13" s="35">
        <f>L9+L11+L12</f>
        <v/>
      </c>
    </row>
    <row r="14">
      <c r="B14" s="8" t="inlineStr">
        <is>
          <t>EBIT &amp; PROFITABILITY</t>
        </is>
      </c>
    </row>
    <row r="15">
      <c r="B15" s="4" t="inlineStr">
        <is>
          <t>EBIT (Operating Income)</t>
        </is>
      </c>
      <c r="C15" s="36">
        <f>C6-C13</f>
        <v/>
      </c>
      <c r="D15" s="36">
        <f>D6-D13</f>
        <v/>
      </c>
      <c r="E15" s="36">
        <f>E6-E13</f>
        <v/>
      </c>
      <c r="F15" s="36">
        <f>F6-F13</f>
        <v/>
      </c>
      <c r="G15" s="36">
        <f>G6-G13</f>
        <v/>
      </c>
      <c r="H15" s="36">
        <f>H6-H13</f>
        <v/>
      </c>
      <c r="I15" s="36">
        <f>I6-I13</f>
        <v/>
      </c>
      <c r="J15" s="36">
        <f>J6-J13</f>
        <v/>
      </c>
      <c r="K15" s="36">
        <f>K6-K13</f>
        <v/>
      </c>
      <c r="L15" s="36">
        <f>L6-L13</f>
        <v/>
      </c>
    </row>
    <row r="16">
      <c r="B16" s="12" t="inlineStr">
        <is>
          <t xml:space="preserve">  EBIT Margin %</t>
        </is>
      </c>
      <c r="C16" s="31">
        <f>C15/C4</f>
        <v/>
      </c>
      <c r="D16" s="31">
        <f>D15/D4</f>
        <v/>
      </c>
      <c r="E16" s="31">
        <f>E15/E4</f>
        <v/>
      </c>
      <c r="F16" s="31">
        <f>F15/F4</f>
        <v/>
      </c>
      <c r="G16" s="31">
        <f>G15/G4</f>
        <v/>
      </c>
      <c r="H16" s="31">
        <f>H15/H4</f>
        <v/>
      </c>
      <c r="I16" s="31">
        <f>I15/I4</f>
        <v/>
      </c>
      <c r="J16" s="31">
        <f>J15/J4</f>
        <v/>
      </c>
      <c r="K16" s="31">
        <f>K15/K4</f>
        <v/>
      </c>
      <c r="L16" s="31">
        <f>L15/L4</f>
        <v/>
      </c>
    </row>
    <row r="17">
      <c r="B17" s="4" t="inlineStr">
        <is>
          <t>NOPAT  [EBIT − tax on positive EBIT]</t>
        </is>
      </c>
      <c r="C17" s="36">
        <f>C15-MAX(0,C15)*Assumptions!$C$14</f>
        <v/>
      </c>
      <c r="D17" s="36">
        <f>D15-MAX(0,D15)*Assumptions!$C$14</f>
        <v/>
      </c>
      <c r="E17" s="36">
        <f>E15-MAX(0,E15)*Assumptions!$C$14</f>
        <v/>
      </c>
      <c r="F17" s="36">
        <f>F15-MAX(0,F15)*Assumptions!$C$14</f>
        <v/>
      </c>
      <c r="G17" s="36">
        <f>G15-MAX(0,G15)*Assumptions!$C$14</f>
        <v/>
      </c>
      <c r="H17" s="36">
        <f>H15-MAX(0,H15)*Assumptions!$C$14</f>
        <v/>
      </c>
      <c r="I17" s="36">
        <f>I15-MAX(0,I15)*Assumptions!$C$14</f>
        <v/>
      </c>
      <c r="J17" s="36">
        <f>J15-MAX(0,J15)*Assumptions!$C$14</f>
        <v/>
      </c>
      <c r="K17" s="36">
        <f>K15-MAX(0,K15)*Assumptions!$C$14</f>
        <v/>
      </c>
      <c r="L17" s="36">
        <f>L15-MAX(0,L15)*Assumptions!$C$14</f>
        <v/>
      </c>
    </row>
    <row r="18">
      <c r="B18" s="8" t="inlineStr">
        <is>
          <t>UNLEVERED FREE CASH FLOW BRIDGE</t>
        </is>
      </c>
    </row>
    <row r="19">
      <c r="B19" s="12" t="inlineStr">
        <is>
          <t>NOPAT</t>
        </is>
      </c>
      <c r="C19" s="34">
        <f>C17</f>
        <v/>
      </c>
      <c r="D19" s="34">
        <f>D17</f>
        <v/>
      </c>
      <c r="E19" s="34">
        <f>E17</f>
        <v/>
      </c>
      <c r="F19" s="34">
        <f>F17</f>
        <v/>
      </c>
      <c r="G19" s="34">
        <f>G17</f>
        <v/>
      </c>
      <c r="H19" s="34">
        <f>H17</f>
        <v/>
      </c>
      <c r="I19" s="34">
        <f>I17</f>
        <v/>
      </c>
      <c r="J19" s="34">
        <f>J17</f>
        <v/>
      </c>
      <c r="K19" s="34">
        <f>K17</f>
        <v/>
      </c>
      <c r="L19" s="34">
        <f>L17</f>
        <v/>
      </c>
    </row>
    <row r="20">
      <c r="B20" s="12" t="inlineStr">
        <is>
          <t xml:space="preserve">  (+) Depreciation &amp; Amortization</t>
        </is>
      </c>
      <c r="C20" s="34">
        <f>C12</f>
        <v/>
      </c>
      <c r="D20" s="34">
        <f>D12</f>
        <v/>
      </c>
      <c r="E20" s="34">
        <f>E12</f>
        <v/>
      </c>
      <c r="F20" s="34">
        <f>F12</f>
        <v/>
      </c>
      <c r="G20" s="34">
        <f>G12</f>
        <v/>
      </c>
      <c r="H20" s="34">
        <f>H12</f>
        <v/>
      </c>
      <c r="I20" s="34">
        <f>I12</f>
        <v/>
      </c>
      <c r="J20" s="34">
        <f>J12</f>
        <v/>
      </c>
      <c r="K20" s="34">
        <f>K12</f>
        <v/>
      </c>
      <c r="L20" s="34">
        <f>L12</f>
        <v/>
      </c>
    </row>
    <row r="21">
      <c r="B21" s="12" t="inlineStr">
        <is>
          <t xml:space="preserve">  (–) Capital Expenditures</t>
        </is>
      </c>
      <c r="C21" s="34">
        <f>-Assumptions!C10</f>
        <v/>
      </c>
      <c r="D21" s="34">
        <f>-Assumptions!D10</f>
        <v/>
      </c>
      <c r="E21" s="34">
        <f>-Assumptions!E10</f>
        <v/>
      </c>
      <c r="F21" s="34">
        <f>-Assumptions!F10</f>
        <v/>
      </c>
      <c r="G21" s="34">
        <f>-Assumptions!G10</f>
        <v/>
      </c>
      <c r="H21" s="34">
        <f>-Assumptions!H10</f>
        <v/>
      </c>
      <c r="I21" s="34">
        <f>-Assumptions!I10</f>
        <v/>
      </c>
      <c r="J21" s="34">
        <f>-Assumptions!J10</f>
        <v/>
      </c>
      <c r="K21" s="34">
        <f>-Assumptions!K10</f>
        <v/>
      </c>
      <c r="L21" s="34">
        <f>-Assumptions!L10</f>
        <v/>
      </c>
    </row>
    <row r="22">
      <c r="B22" s="12" t="inlineStr">
        <is>
          <t xml:space="preserve">  (–) Change in Net Working Capital</t>
        </is>
      </c>
      <c r="C22" s="34">
        <f>-(C4-Assumptions!$C$29)*Assumptions!C11</f>
        <v/>
      </c>
      <c r="D22" s="34">
        <f>-(D4-C4)*Assumptions!D11</f>
        <v/>
      </c>
      <c r="E22" s="34">
        <f>-(E4-D4)*Assumptions!E11</f>
        <v/>
      </c>
      <c r="F22" s="34">
        <f>-(F4-E4)*Assumptions!F11</f>
        <v/>
      </c>
      <c r="G22" s="34">
        <f>-(G4-F4)*Assumptions!G11</f>
        <v/>
      </c>
      <c r="H22" s="34">
        <f>-(H4-G4)*Assumptions!H11</f>
        <v/>
      </c>
      <c r="I22" s="34">
        <f>-(I4-H4)*Assumptions!I11</f>
        <v/>
      </c>
      <c r="J22" s="34">
        <f>-(J4-I4)*Assumptions!J11</f>
        <v/>
      </c>
      <c r="K22" s="34">
        <f>-(K4-J4)*Assumptions!K11</f>
        <v/>
      </c>
      <c r="L22" s="34">
        <f>-(L4-K4)*Assumptions!L11</f>
        <v/>
      </c>
    </row>
    <row r="23">
      <c r="B23" s="4" t="inlineStr">
        <is>
          <t>Unlevered Free Cash Flow</t>
        </is>
      </c>
      <c r="C23" s="35">
        <f>C19+C20+C21+C22</f>
        <v/>
      </c>
      <c r="D23" s="35">
        <f>D19+D20+D21+D22</f>
        <v/>
      </c>
      <c r="E23" s="35">
        <f>E19+E20+E21+E22</f>
        <v/>
      </c>
      <c r="F23" s="35">
        <f>F19+F20+F21+F22</f>
        <v/>
      </c>
      <c r="G23" s="35">
        <f>G19+G20+G21+G22</f>
        <v/>
      </c>
      <c r="H23" s="35">
        <f>H19+H20+H21+H22</f>
        <v/>
      </c>
      <c r="I23" s="35">
        <f>I19+I20+I21+I22</f>
        <v/>
      </c>
      <c r="J23" s="35">
        <f>J19+J20+J21+J22</f>
        <v/>
      </c>
      <c r="K23" s="35">
        <f>K19+K20+K21+K22</f>
        <v/>
      </c>
      <c r="L23" s="35">
        <f>L19+L20+L21+L22</f>
        <v/>
      </c>
    </row>
    <row r="25">
      <c r="B25" s="4" t="inlineStr">
        <is>
          <t>Cumulative Cash Before Financing  (net cash + Σ UFCF)</t>
        </is>
      </c>
      <c r="C25" s="35">
        <f>DCF!$C$28+C23</f>
        <v/>
      </c>
      <c r="D25" s="35">
        <f>C25+D23</f>
        <v/>
      </c>
      <c r="E25" s="35">
        <f>D25+E23</f>
        <v/>
      </c>
      <c r="F25" s="35">
        <f>E25+F23</f>
        <v/>
      </c>
      <c r="G25" s="35">
        <f>F25+G23</f>
        <v/>
      </c>
      <c r="H25" s="35">
        <f>G25+H23</f>
        <v/>
      </c>
      <c r="I25" s="35">
        <f>H25+I23</f>
        <v/>
      </c>
      <c r="J25" s="35">
        <f>I25+J23</f>
        <v/>
      </c>
      <c r="K25" s="35">
        <f>J25+K23</f>
        <v/>
      </c>
      <c r="L25" s="35">
        <f>K25+L23</f>
        <v/>
      </c>
    </row>
    <row r="27" ht="12" customHeight="1">
      <c r="B27" s="20" t="inlineStr">
        <is>
          <t>Francisco Rodriguez  |  Financial Modeling Portfolio  |  github.com/Azyo1</t>
        </is>
      </c>
    </row>
  </sheetData>
  <mergeCells count="6">
    <mergeCell ref="B27:L27"/>
    <mergeCell ref="B3:L3"/>
    <mergeCell ref="B14:L14"/>
    <mergeCell ref="B18:L18"/>
    <mergeCell ref="B1:L1"/>
    <mergeCell ref="B8:L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4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B1" s="8" t="inlineStr">
        <is>
          <t>DCF VALUATION  ($M)</t>
        </is>
      </c>
    </row>
    <row r="2">
      <c r="B2" s="32" t="inlineStr">
        <is>
          <t>Metric</t>
        </is>
      </c>
      <c r="C2" s="3" t="inlineStr">
        <is>
          <t>2026E</t>
        </is>
      </c>
      <c r="D2" s="3" t="inlineStr">
        <is>
          <t>2027E</t>
        </is>
      </c>
      <c r="E2" s="3" t="inlineStr">
        <is>
          <t>2028E</t>
        </is>
      </c>
      <c r="F2" s="3" t="inlineStr">
        <is>
          <t>2029E</t>
        </is>
      </c>
      <c r="G2" s="3" t="inlineStr">
        <is>
          <t>2030E</t>
        </is>
      </c>
      <c r="H2" s="3" t="inlineStr">
        <is>
          <t>2031E</t>
        </is>
      </c>
      <c r="I2" s="3" t="inlineStr">
        <is>
          <t>2032E</t>
        </is>
      </c>
      <c r="J2" s="3" t="inlineStr">
        <is>
          <t>2033E</t>
        </is>
      </c>
      <c r="K2" s="3" t="inlineStr">
        <is>
          <t>2034E</t>
        </is>
      </c>
      <c r="L2" s="3" t="inlineStr">
        <is>
          <t>2035E</t>
        </is>
      </c>
    </row>
    <row r="3">
      <c r="B3" s="8" t="inlineStr">
        <is>
          <t>COST OF CAPITAL  (all-equity)</t>
        </is>
      </c>
    </row>
    <row r="4">
      <c r="B4" s="12" t="inlineStr">
        <is>
          <t>Risk-Free Rate</t>
        </is>
      </c>
      <c r="C4" s="37">
        <f>Assumptions!$C$15</f>
        <v/>
      </c>
    </row>
    <row r="5">
      <c r="B5" s="12" t="inlineStr">
        <is>
          <t>Equity Risk Premium</t>
        </is>
      </c>
      <c r="C5" s="37">
        <f>Assumptions!$C$16</f>
        <v/>
      </c>
    </row>
    <row r="6">
      <c r="B6" s="12" t="inlineStr">
        <is>
          <t>Beta (Relevered)</t>
        </is>
      </c>
      <c r="C6" s="38">
        <f>Assumptions!$C$17</f>
        <v/>
      </c>
    </row>
    <row r="7">
      <c r="B7" s="12" t="inlineStr">
        <is>
          <t>Size &amp; Illiquidity Premium</t>
        </is>
      </c>
      <c r="C7" s="37">
        <f>Assumptions!$C$18</f>
        <v/>
      </c>
    </row>
    <row r="8">
      <c r="B8" s="4" t="inlineStr">
        <is>
          <t>Cost of Equity = WACC  [Rf + β × ERP + premium]</t>
        </is>
      </c>
      <c r="C8" s="39">
        <f>C4+C6*C5+C7</f>
        <v/>
      </c>
    </row>
    <row r="10">
      <c r="B10" s="8" t="inlineStr">
        <is>
          <t>PRESENT VALUE OF CASH FLOWS  (end-of-year discounting)</t>
        </is>
      </c>
    </row>
    <row r="11">
      <c r="B11" s="12" t="inlineStr">
        <is>
          <t>Unlevered FCF ($M)</t>
        </is>
      </c>
      <c r="C11" s="33">
        <f>'Operating Model'!C23</f>
        <v/>
      </c>
      <c r="D11" s="33">
        <f>'Operating Model'!D23</f>
        <v/>
      </c>
      <c r="E11" s="33">
        <f>'Operating Model'!E23</f>
        <v/>
      </c>
      <c r="F11" s="33">
        <f>'Operating Model'!F23</f>
        <v/>
      </c>
      <c r="G11" s="33">
        <f>'Operating Model'!G23</f>
        <v/>
      </c>
      <c r="H11" s="33">
        <f>'Operating Model'!H23</f>
        <v/>
      </c>
      <c r="I11" s="33">
        <f>'Operating Model'!I23</f>
        <v/>
      </c>
      <c r="J11" s="33">
        <f>'Operating Model'!J23</f>
        <v/>
      </c>
      <c r="K11" s="33">
        <f>'Operating Model'!K23</f>
        <v/>
      </c>
      <c r="L11" s="33">
        <f>'Operating Model'!L23</f>
        <v/>
      </c>
    </row>
    <row r="12">
      <c r="B12" s="12" t="inlineStr">
        <is>
          <t>Discount Period (n)</t>
        </is>
      </c>
      <c r="C12" s="40">
        <f>1</f>
        <v/>
      </c>
      <c r="D12" s="40">
        <f>C12+1</f>
        <v/>
      </c>
      <c r="E12" s="40">
        <f>D12+1</f>
        <v/>
      </c>
      <c r="F12" s="40">
        <f>E12+1</f>
        <v/>
      </c>
      <c r="G12" s="40">
        <f>F12+1</f>
        <v/>
      </c>
      <c r="H12" s="40">
        <f>G12+1</f>
        <v/>
      </c>
      <c r="I12" s="40">
        <f>H12+1</f>
        <v/>
      </c>
      <c r="J12" s="40">
        <f>I12+1</f>
        <v/>
      </c>
      <c r="K12" s="40">
        <f>J12+1</f>
        <v/>
      </c>
      <c r="L12" s="40">
        <f>K12+1</f>
        <v/>
      </c>
    </row>
    <row r="13">
      <c r="B13" s="12" t="inlineStr">
        <is>
          <t>PV Factor  [1/(1+WACC)^n]</t>
        </is>
      </c>
      <c r="C13" s="41">
        <f>1/(1+$C$8)^C12</f>
        <v/>
      </c>
      <c r="D13" s="41">
        <f>1/(1+$C$8)^D12</f>
        <v/>
      </c>
      <c r="E13" s="41">
        <f>1/(1+$C$8)^E12</f>
        <v/>
      </c>
      <c r="F13" s="41">
        <f>1/(1+$C$8)^F12</f>
        <v/>
      </c>
      <c r="G13" s="41">
        <f>1/(1+$C$8)^G12</f>
        <v/>
      </c>
      <c r="H13" s="41">
        <f>1/(1+$C$8)^H12</f>
        <v/>
      </c>
      <c r="I13" s="41">
        <f>1/(1+$C$8)^I12</f>
        <v/>
      </c>
      <c r="J13" s="41">
        <f>1/(1+$C$8)^J12</f>
        <v/>
      </c>
      <c r="K13" s="41">
        <f>1/(1+$C$8)^K12</f>
        <v/>
      </c>
      <c r="L13" s="41">
        <f>1/(1+$C$8)^L12</f>
        <v/>
      </c>
    </row>
    <row r="14">
      <c r="B14" s="4" t="inlineStr">
        <is>
          <t>PV of FCF</t>
        </is>
      </c>
      <c r="C14" s="36">
        <f>C11*C13</f>
        <v/>
      </c>
      <c r="D14" s="36">
        <f>D11*D13</f>
        <v/>
      </c>
      <c r="E14" s="36">
        <f>E11*E13</f>
        <v/>
      </c>
      <c r="F14" s="36">
        <f>F11*F13</f>
        <v/>
      </c>
      <c r="G14" s="36">
        <f>G11*G13</f>
        <v/>
      </c>
      <c r="H14" s="36">
        <f>H11*H13</f>
        <v/>
      </c>
      <c r="I14" s="36">
        <f>I11*I13</f>
        <v/>
      </c>
      <c r="J14" s="36">
        <f>J11*J13</f>
        <v/>
      </c>
      <c r="K14" s="36">
        <f>K11*K13</f>
        <v/>
      </c>
      <c r="L14" s="36">
        <f>L11*L13</f>
        <v/>
      </c>
    </row>
    <row r="15">
      <c r="B15" s="4" t="inlineStr">
        <is>
          <t>Sum of PV FCFs</t>
        </is>
      </c>
      <c r="C15" s="35">
        <f>SUM(C14:L14)</f>
        <v/>
      </c>
    </row>
    <row r="17">
      <c r="B17" s="8" t="inlineStr">
        <is>
          <t>TERMINAL VALUE (EV / REVENUE MULTIPLE)</t>
        </is>
      </c>
    </row>
    <row r="18">
      <c r="B18" s="12" t="inlineStr">
        <is>
          <t>Terminal Year Revenue ($M)</t>
        </is>
      </c>
      <c r="C18" s="33">
        <f>'Operating Model'!L4</f>
        <v/>
      </c>
    </row>
    <row r="19">
      <c r="B19" s="12" t="inlineStr">
        <is>
          <t>Terminal EV / Revenue Multiple</t>
        </is>
      </c>
      <c r="C19" s="42">
        <f>Assumptions!$C$28</f>
        <v/>
      </c>
    </row>
    <row r="20">
      <c r="B20" s="4" t="inlineStr">
        <is>
          <t>Terminal Enterprise Value ($M)</t>
        </is>
      </c>
      <c r="C20" s="34">
        <f>C18*C19</f>
        <v/>
      </c>
    </row>
    <row r="21">
      <c r="B21" s="12" t="inlineStr">
        <is>
          <t>Discount Factor (Year 10)</t>
        </is>
      </c>
      <c r="C21" s="41">
        <f>L13</f>
        <v/>
      </c>
    </row>
    <row r="22">
      <c r="B22" s="4" t="inlineStr">
        <is>
          <t>PV of Terminal Value ($M)</t>
        </is>
      </c>
      <c r="C22" s="34">
        <f>C20*C21</f>
        <v/>
      </c>
    </row>
    <row r="24">
      <c r="B24" s="8" t="inlineStr">
        <is>
          <t>EQUITY VALUE BRIDGE</t>
        </is>
      </c>
    </row>
    <row r="25">
      <c r="B25" s="12" t="inlineStr">
        <is>
          <t>Sum of PV FCFs ($M)</t>
        </is>
      </c>
      <c r="C25" s="34">
        <f>C15</f>
        <v/>
      </c>
    </row>
    <row r="26">
      <c r="B26" s="12" t="inlineStr">
        <is>
          <t>(+) PV of Terminal Value ($M)</t>
        </is>
      </c>
      <c r="C26" s="34">
        <f>C22</f>
        <v/>
      </c>
    </row>
    <row r="27">
      <c r="B27" s="4" t="inlineStr">
        <is>
          <t>Enterprise Value ($M)</t>
        </is>
      </c>
      <c r="C27" s="35">
        <f>C25+C26</f>
        <v/>
      </c>
    </row>
    <row r="28">
      <c r="B28" s="12" t="inlineStr">
        <is>
          <t>(+) Net Cash &amp; Investments ($M)</t>
        </is>
      </c>
      <c r="C28" s="34">
        <f>Assumptions!$C$21+Assumptions!$C$22+Assumptions!$C$23</f>
        <v/>
      </c>
    </row>
    <row r="29">
      <c r="B29" s="4" t="inlineStr">
        <is>
          <t>Equity Value ($M)</t>
        </is>
      </c>
      <c r="C29" s="35">
        <f>C27+C28</f>
        <v/>
      </c>
    </row>
    <row r="30">
      <c r="B30" s="12" t="inlineStr">
        <is>
          <t>(÷) Shares Outstanding (M)</t>
        </is>
      </c>
      <c r="C30" s="34">
        <f>Assumptions!$C$24</f>
        <v/>
      </c>
    </row>
    <row r="31">
      <c r="B31" s="4" t="inlineStr">
        <is>
          <t>Base-Case Value per Share</t>
        </is>
      </c>
      <c r="C31" s="43">
        <f>C29/C30</f>
        <v/>
      </c>
    </row>
    <row r="32">
      <c r="B32" s="12" t="inlineStr">
        <is>
          <t>Current Price</t>
        </is>
      </c>
      <c r="C32" s="44">
        <f>Assumptions!$C$25</f>
        <v/>
      </c>
    </row>
    <row r="33">
      <c r="B33" s="4" t="inlineStr">
        <is>
          <t>Base-Case Upside / (Downside)</t>
        </is>
      </c>
      <c r="C33" s="45">
        <f>C31/C32-1</f>
        <v/>
      </c>
    </row>
    <row r="34">
      <c r="B34" s="12" t="inlineStr">
        <is>
          <t xml:space="preserve">  PV of Terminal Value as % of EV</t>
        </is>
      </c>
      <c r="C34" s="31">
        <f>C22/C27</f>
        <v/>
      </c>
    </row>
    <row r="36">
      <c r="B36" s="12" t="inlineStr">
        <is>
          <t>Probability-Weighted Value (Sensitivity)</t>
        </is>
      </c>
      <c r="C36" s="44">
        <f>Sensitivity!$C$40</f>
        <v/>
      </c>
    </row>
    <row r="37">
      <c r="B37" s="4" t="inlineStr">
        <is>
          <t>★ PRICE TARGET (rounded)</t>
        </is>
      </c>
      <c r="C37" s="43">
        <f>ROUND(C36/Assumptions!$C$34,0)*Assumptions!$C$34</f>
        <v/>
      </c>
    </row>
    <row r="38">
      <c r="B38" s="4" t="inlineStr">
        <is>
          <t>PT Upside / (Downside)</t>
        </is>
      </c>
      <c r="C38" s="45">
        <f>C37/C32-1</f>
        <v/>
      </c>
    </row>
    <row r="39">
      <c r="B39" s="4" t="inlineStr">
        <is>
          <t>★ RATING</t>
        </is>
      </c>
      <c r="C39" s="46">
        <f>IF(C38&gt;=Assumptions!$C$32,"OVERWEIGHT",IF(C38&lt;=Assumptions!$C$33,"UNDERWEIGHT","EQUAL-WEIGHT"))</f>
        <v/>
      </c>
    </row>
    <row r="41">
      <c r="B41" s="12" t="inlineStr">
        <is>
          <t>Funding Gap — equity needed before FCF turns positive ($M)</t>
        </is>
      </c>
      <c r="C41" s="34">
        <f>MAX(0,Assumptions!$C$38-MIN('Operating Model'!C25:L25))</f>
        <v/>
      </c>
    </row>
    <row r="42">
      <c r="B42" s="12" t="inlineStr">
        <is>
          <t xml:space="preserve">  Shares issued if raised at current price (M)</t>
        </is>
      </c>
      <c r="C42" s="34">
        <f>C41/C32</f>
        <v/>
      </c>
    </row>
    <row r="43">
      <c r="B43" s="12" t="inlineStr">
        <is>
          <t xml:space="preserve">  Dilution-Adjusted Base Value per Share (disclosure)</t>
        </is>
      </c>
      <c r="C43" s="44">
        <f>(C29+C41)/(C30+C42)</f>
        <v/>
      </c>
    </row>
    <row r="44">
      <c r="B44" s="24" t="inlineStr">
        <is>
          <t>Price target methodology values the business on today's share count; the funding-gap rows disclose the equity Nautilus must raise before FCF turns positive and the per-share value if it were raised at today's price.</t>
        </is>
      </c>
    </row>
    <row r="46" ht="12" customHeight="1">
      <c r="B46" s="20" t="inlineStr">
        <is>
          <t>Francisco Rodriguez  |  Financial Modeling Portfolio  |  github.com/Azyo1</t>
        </is>
      </c>
    </row>
  </sheetData>
  <mergeCells count="7">
    <mergeCell ref="B17:E17"/>
    <mergeCell ref="B44:L44"/>
    <mergeCell ref="B10:L10"/>
    <mergeCell ref="B3:E3"/>
    <mergeCell ref="B24:E24"/>
    <mergeCell ref="B46:L46"/>
    <mergeCell ref="B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B1" s="8" t="inlineStr">
        <is>
          <t>SENSITIVITY ANALYSIS  (live formulas)</t>
        </is>
      </c>
    </row>
    <row r="3">
      <c r="B3" s="8" t="inlineStr">
        <is>
          <t>VALUE PER SHARE — WACC vs. Terminal EV/Revenue  (base revenue path)</t>
        </is>
      </c>
    </row>
    <row r="4">
      <c r="B4" s="3" t="inlineStr">
        <is>
          <t>WACC ↓  |  EV/Rev →</t>
        </is>
      </c>
      <c r="C4" s="47">
        <f>DCF!$C$19+(-3)*Assumptions!$C$36</f>
        <v/>
      </c>
      <c r="D4" s="47">
        <f>DCF!$C$19+(-2)*Assumptions!$C$36</f>
        <v/>
      </c>
      <c r="E4" s="47">
        <f>DCF!$C$19+(-1)*Assumptions!$C$36</f>
        <v/>
      </c>
      <c r="F4" s="47">
        <f>DCF!$C$19+(0)*Assumptions!$C$36</f>
        <v/>
      </c>
      <c r="G4" s="47">
        <f>DCF!$C$19+(1)*Assumptions!$C$36</f>
        <v/>
      </c>
      <c r="H4" s="47">
        <f>DCF!$C$19+(2)*Assumptions!$C$36</f>
        <v/>
      </c>
      <c r="I4" s="47">
        <f>DCF!$C$19+(3)*Assumptions!$C$36</f>
        <v/>
      </c>
      <c r="J4" s="47">
        <f>DCF!$C$19+(4)*Assumptions!$C$36</f>
        <v/>
      </c>
    </row>
    <row r="5">
      <c r="B5" s="48">
        <f>DCF!$C$8+(-3)*Assumptions!$C$35</f>
        <v/>
      </c>
      <c r="C5" s="49">
        <f>(DCF!C$11/(1+$B5)^DCF!C$12+DCF!D$11/(1+$B5)^DCF!D$12+DCF!E$11/(1+$B5)^DCF!E$12+DCF!F$11/(1+$B5)^DCF!F$12+DCF!G$11/(1+$B5)^DCF!G$12+DCF!H$11/(1+$B5)^DCF!H$12+DCF!I$11/(1+$B5)^DCF!I$12+DCF!J$11/(1+$B5)^DCF!J$12+DCF!K$11/(1+$B5)^DCF!K$12+DCF!L$11/(1+$B5)^DCF!L$12+DCF!$C$18*C$4/(1+$B5)^DCF!$L$12+DCF!$C$28)/DCF!$C$30</f>
        <v/>
      </c>
      <c r="D5" s="49">
        <f>(DCF!C$11/(1+$B5)^DCF!C$12+DCF!D$11/(1+$B5)^DCF!D$12+DCF!E$11/(1+$B5)^DCF!E$12+DCF!F$11/(1+$B5)^DCF!F$12+DCF!G$11/(1+$B5)^DCF!G$12+DCF!H$11/(1+$B5)^DCF!H$12+DCF!I$11/(1+$B5)^DCF!I$12+DCF!J$11/(1+$B5)^DCF!J$12+DCF!K$11/(1+$B5)^DCF!K$12+DCF!L$11/(1+$B5)^DCF!L$12+DCF!$C$18*D$4/(1+$B5)^DCF!$L$12+DCF!$C$28)/DCF!$C$30</f>
        <v/>
      </c>
      <c r="E5" s="49">
        <f>(DCF!C$11/(1+$B5)^DCF!C$12+DCF!D$11/(1+$B5)^DCF!D$12+DCF!E$11/(1+$B5)^DCF!E$12+DCF!F$11/(1+$B5)^DCF!F$12+DCF!G$11/(1+$B5)^DCF!G$12+DCF!H$11/(1+$B5)^DCF!H$12+DCF!I$11/(1+$B5)^DCF!I$12+DCF!J$11/(1+$B5)^DCF!J$12+DCF!K$11/(1+$B5)^DCF!K$12+DCF!L$11/(1+$B5)^DCF!L$12+DCF!$C$18*E$4/(1+$B5)^DCF!$L$12+DCF!$C$28)/DCF!$C$30</f>
        <v/>
      </c>
      <c r="F5" s="49">
        <f>(DCF!C$11/(1+$B5)^DCF!C$12+DCF!D$11/(1+$B5)^DCF!D$12+DCF!E$11/(1+$B5)^DCF!E$12+DCF!F$11/(1+$B5)^DCF!F$12+DCF!G$11/(1+$B5)^DCF!G$12+DCF!H$11/(1+$B5)^DCF!H$12+DCF!I$11/(1+$B5)^DCF!I$12+DCF!J$11/(1+$B5)^DCF!J$12+DCF!K$11/(1+$B5)^DCF!K$12+DCF!L$11/(1+$B5)^DCF!L$12+DCF!$C$18*F$4/(1+$B5)^DCF!$L$12+DCF!$C$28)/DCF!$C$30</f>
        <v/>
      </c>
      <c r="G5" s="49">
        <f>(DCF!C$11/(1+$B5)^DCF!C$12+DCF!D$11/(1+$B5)^DCF!D$12+DCF!E$11/(1+$B5)^DCF!E$12+DCF!F$11/(1+$B5)^DCF!F$12+DCF!G$11/(1+$B5)^DCF!G$12+DCF!H$11/(1+$B5)^DCF!H$12+DCF!I$11/(1+$B5)^DCF!I$12+DCF!J$11/(1+$B5)^DCF!J$12+DCF!K$11/(1+$B5)^DCF!K$12+DCF!L$11/(1+$B5)^DCF!L$12+DCF!$C$18*G$4/(1+$B5)^DCF!$L$12+DCF!$C$28)/DCF!$C$30</f>
        <v/>
      </c>
      <c r="H5" s="49">
        <f>(DCF!C$11/(1+$B5)^DCF!C$12+DCF!D$11/(1+$B5)^DCF!D$12+DCF!E$11/(1+$B5)^DCF!E$12+DCF!F$11/(1+$B5)^DCF!F$12+DCF!G$11/(1+$B5)^DCF!G$12+DCF!H$11/(1+$B5)^DCF!H$12+DCF!I$11/(1+$B5)^DCF!I$12+DCF!J$11/(1+$B5)^DCF!J$12+DCF!K$11/(1+$B5)^DCF!K$12+DCF!L$11/(1+$B5)^DCF!L$12+DCF!$C$18*H$4/(1+$B5)^DCF!$L$12+DCF!$C$28)/DCF!$C$30</f>
        <v/>
      </c>
      <c r="I5" s="49">
        <f>(DCF!C$11/(1+$B5)^DCF!C$12+DCF!D$11/(1+$B5)^DCF!D$12+DCF!E$11/(1+$B5)^DCF!E$12+DCF!F$11/(1+$B5)^DCF!F$12+DCF!G$11/(1+$B5)^DCF!G$12+DCF!H$11/(1+$B5)^DCF!H$12+DCF!I$11/(1+$B5)^DCF!I$12+DCF!J$11/(1+$B5)^DCF!J$12+DCF!K$11/(1+$B5)^DCF!K$12+DCF!L$11/(1+$B5)^DCF!L$12+DCF!$C$18*I$4/(1+$B5)^DCF!$L$12+DCF!$C$28)/DCF!$C$30</f>
        <v/>
      </c>
      <c r="J5" s="49">
        <f>(DCF!C$11/(1+$B5)^DCF!C$12+DCF!D$11/(1+$B5)^DCF!D$12+DCF!E$11/(1+$B5)^DCF!E$12+DCF!F$11/(1+$B5)^DCF!F$12+DCF!G$11/(1+$B5)^DCF!G$12+DCF!H$11/(1+$B5)^DCF!H$12+DCF!I$11/(1+$B5)^DCF!I$12+DCF!J$11/(1+$B5)^DCF!J$12+DCF!K$11/(1+$B5)^DCF!K$12+DCF!L$11/(1+$B5)^DCF!L$12+DCF!$C$18*J$4/(1+$B5)^DCF!$L$12+DCF!$C$28)/DCF!$C$30</f>
        <v/>
      </c>
    </row>
    <row r="6">
      <c r="B6" s="48">
        <f>DCF!$C$8+(-2)*Assumptions!$C$35</f>
        <v/>
      </c>
      <c r="C6" s="49">
        <f>(DCF!C$11/(1+$B6)^DCF!C$12+DCF!D$11/(1+$B6)^DCF!D$12+DCF!E$11/(1+$B6)^DCF!E$12+DCF!F$11/(1+$B6)^DCF!F$12+DCF!G$11/(1+$B6)^DCF!G$12+DCF!H$11/(1+$B6)^DCF!H$12+DCF!I$11/(1+$B6)^DCF!I$12+DCF!J$11/(1+$B6)^DCF!J$12+DCF!K$11/(1+$B6)^DCF!K$12+DCF!L$11/(1+$B6)^DCF!L$12+DCF!$C$18*C$4/(1+$B6)^DCF!$L$12+DCF!$C$28)/DCF!$C$30</f>
        <v/>
      </c>
      <c r="D6" s="49">
        <f>(DCF!C$11/(1+$B6)^DCF!C$12+DCF!D$11/(1+$B6)^DCF!D$12+DCF!E$11/(1+$B6)^DCF!E$12+DCF!F$11/(1+$B6)^DCF!F$12+DCF!G$11/(1+$B6)^DCF!G$12+DCF!H$11/(1+$B6)^DCF!H$12+DCF!I$11/(1+$B6)^DCF!I$12+DCF!J$11/(1+$B6)^DCF!J$12+DCF!K$11/(1+$B6)^DCF!K$12+DCF!L$11/(1+$B6)^DCF!L$12+DCF!$C$18*D$4/(1+$B6)^DCF!$L$12+DCF!$C$28)/DCF!$C$30</f>
        <v/>
      </c>
      <c r="E6" s="49">
        <f>(DCF!C$11/(1+$B6)^DCF!C$12+DCF!D$11/(1+$B6)^DCF!D$12+DCF!E$11/(1+$B6)^DCF!E$12+DCF!F$11/(1+$B6)^DCF!F$12+DCF!G$11/(1+$B6)^DCF!G$12+DCF!H$11/(1+$B6)^DCF!H$12+DCF!I$11/(1+$B6)^DCF!I$12+DCF!J$11/(1+$B6)^DCF!J$12+DCF!K$11/(1+$B6)^DCF!K$12+DCF!L$11/(1+$B6)^DCF!L$12+DCF!$C$18*E$4/(1+$B6)^DCF!$L$12+DCF!$C$28)/DCF!$C$30</f>
        <v/>
      </c>
      <c r="F6" s="49">
        <f>(DCF!C$11/(1+$B6)^DCF!C$12+DCF!D$11/(1+$B6)^DCF!D$12+DCF!E$11/(1+$B6)^DCF!E$12+DCF!F$11/(1+$B6)^DCF!F$12+DCF!G$11/(1+$B6)^DCF!G$12+DCF!H$11/(1+$B6)^DCF!H$12+DCF!I$11/(1+$B6)^DCF!I$12+DCF!J$11/(1+$B6)^DCF!J$12+DCF!K$11/(1+$B6)^DCF!K$12+DCF!L$11/(1+$B6)^DCF!L$12+DCF!$C$18*F$4/(1+$B6)^DCF!$L$12+DCF!$C$28)/DCF!$C$30</f>
        <v/>
      </c>
      <c r="G6" s="49">
        <f>(DCF!C$11/(1+$B6)^DCF!C$12+DCF!D$11/(1+$B6)^DCF!D$12+DCF!E$11/(1+$B6)^DCF!E$12+DCF!F$11/(1+$B6)^DCF!F$12+DCF!G$11/(1+$B6)^DCF!G$12+DCF!H$11/(1+$B6)^DCF!H$12+DCF!I$11/(1+$B6)^DCF!I$12+DCF!J$11/(1+$B6)^DCF!J$12+DCF!K$11/(1+$B6)^DCF!K$12+DCF!L$11/(1+$B6)^DCF!L$12+DCF!$C$18*G$4/(1+$B6)^DCF!$L$12+DCF!$C$28)/DCF!$C$30</f>
        <v/>
      </c>
      <c r="H6" s="49">
        <f>(DCF!C$11/(1+$B6)^DCF!C$12+DCF!D$11/(1+$B6)^DCF!D$12+DCF!E$11/(1+$B6)^DCF!E$12+DCF!F$11/(1+$B6)^DCF!F$12+DCF!G$11/(1+$B6)^DCF!G$12+DCF!H$11/(1+$B6)^DCF!H$12+DCF!I$11/(1+$B6)^DCF!I$12+DCF!J$11/(1+$B6)^DCF!J$12+DCF!K$11/(1+$B6)^DCF!K$12+DCF!L$11/(1+$B6)^DCF!L$12+DCF!$C$18*H$4/(1+$B6)^DCF!$L$12+DCF!$C$28)/DCF!$C$30</f>
        <v/>
      </c>
      <c r="I6" s="49">
        <f>(DCF!C$11/(1+$B6)^DCF!C$12+DCF!D$11/(1+$B6)^DCF!D$12+DCF!E$11/(1+$B6)^DCF!E$12+DCF!F$11/(1+$B6)^DCF!F$12+DCF!G$11/(1+$B6)^DCF!G$12+DCF!H$11/(1+$B6)^DCF!H$12+DCF!I$11/(1+$B6)^DCF!I$12+DCF!J$11/(1+$B6)^DCF!J$12+DCF!K$11/(1+$B6)^DCF!K$12+DCF!L$11/(1+$B6)^DCF!L$12+DCF!$C$18*I$4/(1+$B6)^DCF!$L$12+DCF!$C$28)/DCF!$C$30</f>
        <v/>
      </c>
      <c r="J6" s="49">
        <f>(DCF!C$11/(1+$B6)^DCF!C$12+DCF!D$11/(1+$B6)^DCF!D$12+DCF!E$11/(1+$B6)^DCF!E$12+DCF!F$11/(1+$B6)^DCF!F$12+DCF!G$11/(1+$B6)^DCF!G$12+DCF!H$11/(1+$B6)^DCF!H$12+DCF!I$11/(1+$B6)^DCF!I$12+DCF!J$11/(1+$B6)^DCF!J$12+DCF!K$11/(1+$B6)^DCF!K$12+DCF!L$11/(1+$B6)^DCF!L$12+DCF!$C$18*J$4/(1+$B6)^DCF!$L$12+DCF!$C$28)/DCF!$C$30</f>
        <v/>
      </c>
    </row>
    <row r="7">
      <c r="B7" s="48">
        <f>DCF!$C$8+(-1)*Assumptions!$C$35</f>
        <v/>
      </c>
      <c r="C7" s="49">
        <f>(DCF!C$11/(1+$B7)^DCF!C$12+DCF!D$11/(1+$B7)^DCF!D$12+DCF!E$11/(1+$B7)^DCF!E$12+DCF!F$11/(1+$B7)^DCF!F$12+DCF!G$11/(1+$B7)^DCF!G$12+DCF!H$11/(1+$B7)^DCF!H$12+DCF!I$11/(1+$B7)^DCF!I$12+DCF!J$11/(1+$B7)^DCF!J$12+DCF!K$11/(1+$B7)^DCF!K$12+DCF!L$11/(1+$B7)^DCF!L$12+DCF!$C$18*C$4/(1+$B7)^DCF!$L$12+DCF!$C$28)/DCF!$C$30</f>
        <v/>
      </c>
      <c r="D7" s="49">
        <f>(DCF!C$11/(1+$B7)^DCF!C$12+DCF!D$11/(1+$B7)^DCF!D$12+DCF!E$11/(1+$B7)^DCF!E$12+DCF!F$11/(1+$B7)^DCF!F$12+DCF!G$11/(1+$B7)^DCF!G$12+DCF!H$11/(1+$B7)^DCF!H$12+DCF!I$11/(1+$B7)^DCF!I$12+DCF!J$11/(1+$B7)^DCF!J$12+DCF!K$11/(1+$B7)^DCF!K$12+DCF!L$11/(1+$B7)^DCF!L$12+DCF!$C$18*D$4/(1+$B7)^DCF!$L$12+DCF!$C$28)/DCF!$C$30</f>
        <v/>
      </c>
      <c r="E7" s="49">
        <f>(DCF!C$11/(1+$B7)^DCF!C$12+DCF!D$11/(1+$B7)^DCF!D$12+DCF!E$11/(1+$B7)^DCF!E$12+DCF!F$11/(1+$B7)^DCF!F$12+DCF!G$11/(1+$B7)^DCF!G$12+DCF!H$11/(1+$B7)^DCF!H$12+DCF!I$11/(1+$B7)^DCF!I$12+DCF!J$11/(1+$B7)^DCF!J$12+DCF!K$11/(1+$B7)^DCF!K$12+DCF!L$11/(1+$B7)^DCF!L$12+DCF!$C$18*E$4/(1+$B7)^DCF!$L$12+DCF!$C$28)/DCF!$C$30</f>
        <v/>
      </c>
      <c r="F7" s="49">
        <f>(DCF!C$11/(1+$B7)^DCF!C$12+DCF!D$11/(1+$B7)^DCF!D$12+DCF!E$11/(1+$B7)^DCF!E$12+DCF!F$11/(1+$B7)^DCF!F$12+DCF!G$11/(1+$B7)^DCF!G$12+DCF!H$11/(1+$B7)^DCF!H$12+DCF!I$11/(1+$B7)^DCF!I$12+DCF!J$11/(1+$B7)^DCF!J$12+DCF!K$11/(1+$B7)^DCF!K$12+DCF!L$11/(1+$B7)^DCF!L$12+DCF!$C$18*F$4/(1+$B7)^DCF!$L$12+DCF!$C$28)/DCF!$C$30</f>
        <v/>
      </c>
      <c r="G7" s="49">
        <f>(DCF!C$11/(1+$B7)^DCF!C$12+DCF!D$11/(1+$B7)^DCF!D$12+DCF!E$11/(1+$B7)^DCF!E$12+DCF!F$11/(1+$B7)^DCF!F$12+DCF!G$11/(1+$B7)^DCF!G$12+DCF!H$11/(1+$B7)^DCF!H$12+DCF!I$11/(1+$B7)^DCF!I$12+DCF!J$11/(1+$B7)^DCF!J$12+DCF!K$11/(1+$B7)^DCF!K$12+DCF!L$11/(1+$B7)^DCF!L$12+DCF!$C$18*G$4/(1+$B7)^DCF!$L$12+DCF!$C$28)/DCF!$C$30</f>
        <v/>
      </c>
      <c r="H7" s="49">
        <f>(DCF!C$11/(1+$B7)^DCF!C$12+DCF!D$11/(1+$B7)^DCF!D$12+DCF!E$11/(1+$B7)^DCF!E$12+DCF!F$11/(1+$B7)^DCF!F$12+DCF!G$11/(1+$B7)^DCF!G$12+DCF!H$11/(1+$B7)^DCF!H$12+DCF!I$11/(1+$B7)^DCF!I$12+DCF!J$11/(1+$B7)^DCF!J$12+DCF!K$11/(1+$B7)^DCF!K$12+DCF!L$11/(1+$B7)^DCF!L$12+DCF!$C$18*H$4/(1+$B7)^DCF!$L$12+DCF!$C$28)/DCF!$C$30</f>
        <v/>
      </c>
      <c r="I7" s="49">
        <f>(DCF!C$11/(1+$B7)^DCF!C$12+DCF!D$11/(1+$B7)^DCF!D$12+DCF!E$11/(1+$B7)^DCF!E$12+DCF!F$11/(1+$B7)^DCF!F$12+DCF!G$11/(1+$B7)^DCF!G$12+DCF!H$11/(1+$B7)^DCF!H$12+DCF!I$11/(1+$B7)^DCF!I$12+DCF!J$11/(1+$B7)^DCF!J$12+DCF!K$11/(1+$B7)^DCF!K$12+DCF!L$11/(1+$B7)^DCF!L$12+DCF!$C$18*I$4/(1+$B7)^DCF!$L$12+DCF!$C$28)/DCF!$C$30</f>
        <v/>
      </c>
      <c r="J7" s="49">
        <f>(DCF!C$11/(1+$B7)^DCF!C$12+DCF!D$11/(1+$B7)^DCF!D$12+DCF!E$11/(1+$B7)^DCF!E$12+DCF!F$11/(1+$B7)^DCF!F$12+DCF!G$11/(1+$B7)^DCF!G$12+DCF!H$11/(1+$B7)^DCF!H$12+DCF!I$11/(1+$B7)^DCF!I$12+DCF!J$11/(1+$B7)^DCF!J$12+DCF!K$11/(1+$B7)^DCF!K$12+DCF!L$11/(1+$B7)^DCF!L$12+DCF!$C$18*J$4/(1+$B7)^DCF!$L$12+DCF!$C$28)/DCF!$C$30</f>
        <v/>
      </c>
    </row>
    <row r="8">
      <c r="B8" s="48">
        <f>DCF!$C$8+(0)*Assumptions!$C$35</f>
        <v/>
      </c>
      <c r="C8" s="49">
        <f>(DCF!C$11/(1+$B8)^DCF!C$12+DCF!D$11/(1+$B8)^DCF!D$12+DCF!E$11/(1+$B8)^DCF!E$12+DCF!F$11/(1+$B8)^DCF!F$12+DCF!G$11/(1+$B8)^DCF!G$12+DCF!H$11/(1+$B8)^DCF!H$12+DCF!I$11/(1+$B8)^DCF!I$12+DCF!J$11/(1+$B8)^DCF!J$12+DCF!K$11/(1+$B8)^DCF!K$12+DCF!L$11/(1+$B8)^DCF!L$12+DCF!$C$18*C$4/(1+$B8)^DCF!$L$12+DCF!$C$28)/DCF!$C$30</f>
        <v/>
      </c>
      <c r="D8" s="49">
        <f>(DCF!C$11/(1+$B8)^DCF!C$12+DCF!D$11/(1+$B8)^DCF!D$12+DCF!E$11/(1+$B8)^DCF!E$12+DCF!F$11/(1+$B8)^DCF!F$12+DCF!G$11/(1+$B8)^DCF!G$12+DCF!H$11/(1+$B8)^DCF!H$12+DCF!I$11/(1+$B8)^DCF!I$12+DCF!J$11/(1+$B8)^DCF!J$12+DCF!K$11/(1+$B8)^DCF!K$12+DCF!L$11/(1+$B8)^DCF!L$12+DCF!$C$18*D$4/(1+$B8)^DCF!$L$12+DCF!$C$28)/DCF!$C$30</f>
        <v/>
      </c>
      <c r="E8" s="49">
        <f>(DCF!C$11/(1+$B8)^DCF!C$12+DCF!D$11/(1+$B8)^DCF!D$12+DCF!E$11/(1+$B8)^DCF!E$12+DCF!F$11/(1+$B8)^DCF!F$12+DCF!G$11/(1+$B8)^DCF!G$12+DCF!H$11/(1+$B8)^DCF!H$12+DCF!I$11/(1+$B8)^DCF!I$12+DCF!J$11/(1+$B8)^DCF!J$12+DCF!K$11/(1+$B8)^DCF!K$12+DCF!L$11/(1+$B8)^DCF!L$12+DCF!$C$18*E$4/(1+$B8)^DCF!$L$12+DCF!$C$28)/DCF!$C$30</f>
        <v/>
      </c>
      <c r="F8" s="50">
        <f>(DCF!C$11/(1+$B8)^DCF!C$12+DCF!D$11/(1+$B8)^DCF!D$12+DCF!E$11/(1+$B8)^DCF!E$12+DCF!F$11/(1+$B8)^DCF!F$12+DCF!G$11/(1+$B8)^DCF!G$12+DCF!H$11/(1+$B8)^DCF!H$12+DCF!I$11/(1+$B8)^DCF!I$12+DCF!J$11/(1+$B8)^DCF!J$12+DCF!K$11/(1+$B8)^DCF!K$12+DCF!L$11/(1+$B8)^DCF!L$12+DCF!$C$18*F$4/(1+$B8)^DCF!$L$12+DCF!$C$28)/DCF!$C$30</f>
        <v/>
      </c>
      <c r="G8" s="49">
        <f>(DCF!C$11/(1+$B8)^DCF!C$12+DCF!D$11/(1+$B8)^DCF!D$12+DCF!E$11/(1+$B8)^DCF!E$12+DCF!F$11/(1+$B8)^DCF!F$12+DCF!G$11/(1+$B8)^DCF!G$12+DCF!H$11/(1+$B8)^DCF!H$12+DCF!I$11/(1+$B8)^DCF!I$12+DCF!J$11/(1+$B8)^DCF!J$12+DCF!K$11/(1+$B8)^DCF!K$12+DCF!L$11/(1+$B8)^DCF!L$12+DCF!$C$18*G$4/(1+$B8)^DCF!$L$12+DCF!$C$28)/DCF!$C$30</f>
        <v/>
      </c>
      <c r="H8" s="49">
        <f>(DCF!C$11/(1+$B8)^DCF!C$12+DCF!D$11/(1+$B8)^DCF!D$12+DCF!E$11/(1+$B8)^DCF!E$12+DCF!F$11/(1+$B8)^DCF!F$12+DCF!G$11/(1+$B8)^DCF!G$12+DCF!H$11/(1+$B8)^DCF!H$12+DCF!I$11/(1+$B8)^DCF!I$12+DCF!J$11/(1+$B8)^DCF!J$12+DCF!K$11/(1+$B8)^DCF!K$12+DCF!L$11/(1+$B8)^DCF!L$12+DCF!$C$18*H$4/(1+$B8)^DCF!$L$12+DCF!$C$28)/DCF!$C$30</f>
        <v/>
      </c>
      <c r="I8" s="49">
        <f>(DCF!C$11/(1+$B8)^DCF!C$12+DCF!D$11/(1+$B8)^DCF!D$12+DCF!E$11/(1+$B8)^DCF!E$12+DCF!F$11/(1+$B8)^DCF!F$12+DCF!G$11/(1+$B8)^DCF!G$12+DCF!H$11/(1+$B8)^DCF!H$12+DCF!I$11/(1+$B8)^DCF!I$12+DCF!J$11/(1+$B8)^DCF!J$12+DCF!K$11/(1+$B8)^DCF!K$12+DCF!L$11/(1+$B8)^DCF!L$12+DCF!$C$18*I$4/(1+$B8)^DCF!$L$12+DCF!$C$28)/DCF!$C$30</f>
        <v/>
      </c>
      <c r="J8" s="49">
        <f>(DCF!C$11/(1+$B8)^DCF!C$12+DCF!D$11/(1+$B8)^DCF!D$12+DCF!E$11/(1+$B8)^DCF!E$12+DCF!F$11/(1+$B8)^DCF!F$12+DCF!G$11/(1+$B8)^DCF!G$12+DCF!H$11/(1+$B8)^DCF!H$12+DCF!I$11/(1+$B8)^DCF!I$12+DCF!J$11/(1+$B8)^DCF!J$12+DCF!K$11/(1+$B8)^DCF!K$12+DCF!L$11/(1+$B8)^DCF!L$12+DCF!$C$18*J$4/(1+$B8)^DCF!$L$12+DCF!$C$28)/DCF!$C$30</f>
        <v/>
      </c>
    </row>
    <row r="9">
      <c r="B9" s="48">
        <f>DCF!$C$8+(1)*Assumptions!$C$35</f>
        <v/>
      </c>
      <c r="C9" s="49">
        <f>(DCF!C$11/(1+$B9)^DCF!C$12+DCF!D$11/(1+$B9)^DCF!D$12+DCF!E$11/(1+$B9)^DCF!E$12+DCF!F$11/(1+$B9)^DCF!F$12+DCF!G$11/(1+$B9)^DCF!G$12+DCF!H$11/(1+$B9)^DCF!H$12+DCF!I$11/(1+$B9)^DCF!I$12+DCF!J$11/(1+$B9)^DCF!J$12+DCF!K$11/(1+$B9)^DCF!K$12+DCF!L$11/(1+$B9)^DCF!L$12+DCF!$C$18*C$4/(1+$B9)^DCF!$L$12+DCF!$C$28)/DCF!$C$30</f>
        <v/>
      </c>
      <c r="D9" s="49">
        <f>(DCF!C$11/(1+$B9)^DCF!C$12+DCF!D$11/(1+$B9)^DCF!D$12+DCF!E$11/(1+$B9)^DCF!E$12+DCF!F$11/(1+$B9)^DCF!F$12+DCF!G$11/(1+$B9)^DCF!G$12+DCF!H$11/(1+$B9)^DCF!H$12+DCF!I$11/(1+$B9)^DCF!I$12+DCF!J$11/(1+$B9)^DCF!J$12+DCF!K$11/(1+$B9)^DCF!K$12+DCF!L$11/(1+$B9)^DCF!L$12+DCF!$C$18*D$4/(1+$B9)^DCF!$L$12+DCF!$C$28)/DCF!$C$30</f>
        <v/>
      </c>
      <c r="E9" s="49">
        <f>(DCF!C$11/(1+$B9)^DCF!C$12+DCF!D$11/(1+$B9)^DCF!D$12+DCF!E$11/(1+$B9)^DCF!E$12+DCF!F$11/(1+$B9)^DCF!F$12+DCF!G$11/(1+$B9)^DCF!G$12+DCF!H$11/(1+$B9)^DCF!H$12+DCF!I$11/(1+$B9)^DCF!I$12+DCF!J$11/(1+$B9)^DCF!J$12+DCF!K$11/(1+$B9)^DCF!K$12+DCF!L$11/(1+$B9)^DCF!L$12+DCF!$C$18*E$4/(1+$B9)^DCF!$L$12+DCF!$C$28)/DCF!$C$30</f>
        <v/>
      </c>
      <c r="F9" s="49">
        <f>(DCF!C$11/(1+$B9)^DCF!C$12+DCF!D$11/(1+$B9)^DCF!D$12+DCF!E$11/(1+$B9)^DCF!E$12+DCF!F$11/(1+$B9)^DCF!F$12+DCF!G$11/(1+$B9)^DCF!G$12+DCF!H$11/(1+$B9)^DCF!H$12+DCF!I$11/(1+$B9)^DCF!I$12+DCF!J$11/(1+$B9)^DCF!J$12+DCF!K$11/(1+$B9)^DCF!K$12+DCF!L$11/(1+$B9)^DCF!L$12+DCF!$C$18*F$4/(1+$B9)^DCF!$L$12+DCF!$C$28)/DCF!$C$30</f>
        <v/>
      </c>
      <c r="G9" s="49">
        <f>(DCF!C$11/(1+$B9)^DCF!C$12+DCF!D$11/(1+$B9)^DCF!D$12+DCF!E$11/(1+$B9)^DCF!E$12+DCF!F$11/(1+$B9)^DCF!F$12+DCF!G$11/(1+$B9)^DCF!G$12+DCF!H$11/(1+$B9)^DCF!H$12+DCF!I$11/(1+$B9)^DCF!I$12+DCF!J$11/(1+$B9)^DCF!J$12+DCF!K$11/(1+$B9)^DCF!K$12+DCF!L$11/(1+$B9)^DCF!L$12+DCF!$C$18*G$4/(1+$B9)^DCF!$L$12+DCF!$C$28)/DCF!$C$30</f>
        <v/>
      </c>
      <c r="H9" s="49">
        <f>(DCF!C$11/(1+$B9)^DCF!C$12+DCF!D$11/(1+$B9)^DCF!D$12+DCF!E$11/(1+$B9)^DCF!E$12+DCF!F$11/(1+$B9)^DCF!F$12+DCF!G$11/(1+$B9)^DCF!G$12+DCF!H$11/(1+$B9)^DCF!H$12+DCF!I$11/(1+$B9)^DCF!I$12+DCF!J$11/(1+$B9)^DCF!J$12+DCF!K$11/(1+$B9)^DCF!K$12+DCF!L$11/(1+$B9)^DCF!L$12+DCF!$C$18*H$4/(1+$B9)^DCF!$L$12+DCF!$C$28)/DCF!$C$30</f>
        <v/>
      </c>
      <c r="I9" s="49">
        <f>(DCF!C$11/(1+$B9)^DCF!C$12+DCF!D$11/(1+$B9)^DCF!D$12+DCF!E$11/(1+$B9)^DCF!E$12+DCF!F$11/(1+$B9)^DCF!F$12+DCF!G$11/(1+$B9)^DCF!G$12+DCF!H$11/(1+$B9)^DCF!H$12+DCF!I$11/(1+$B9)^DCF!I$12+DCF!J$11/(1+$B9)^DCF!J$12+DCF!K$11/(1+$B9)^DCF!K$12+DCF!L$11/(1+$B9)^DCF!L$12+DCF!$C$18*I$4/(1+$B9)^DCF!$L$12+DCF!$C$28)/DCF!$C$30</f>
        <v/>
      </c>
      <c r="J9" s="49">
        <f>(DCF!C$11/(1+$B9)^DCF!C$12+DCF!D$11/(1+$B9)^DCF!D$12+DCF!E$11/(1+$B9)^DCF!E$12+DCF!F$11/(1+$B9)^DCF!F$12+DCF!G$11/(1+$B9)^DCF!G$12+DCF!H$11/(1+$B9)^DCF!H$12+DCF!I$11/(1+$B9)^DCF!I$12+DCF!J$11/(1+$B9)^DCF!J$12+DCF!K$11/(1+$B9)^DCF!K$12+DCF!L$11/(1+$B9)^DCF!L$12+DCF!$C$18*J$4/(1+$B9)^DCF!$L$12+DCF!$C$28)/DCF!$C$30</f>
        <v/>
      </c>
    </row>
    <row r="10">
      <c r="B10" s="48">
        <f>DCF!$C$8+(2)*Assumptions!$C$35</f>
        <v/>
      </c>
      <c r="C10" s="49">
        <f>(DCF!C$11/(1+$B10)^DCF!C$12+DCF!D$11/(1+$B10)^DCF!D$12+DCF!E$11/(1+$B10)^DCF!E$12+DCF!F$11/(1+$B10)^DCF!F$12+DCF!G$11/(1+$B10)^DCF!G$12+DCF!H$11/(1+$B10)^DCF!H$12+DCF!I$11/(1+$B10)^DCF!I$12+DCF!J$11/(1+$B10)^DCF!J$12+DCF!K$11/(1+$B10)^DCF!K$12+DCF!L$11/(1+$B10)^DCF!L$12+DCF!$C$18*C$4/(1+$B10)^DCF!$L$12+DCF!$C$28)/DCF!$C$30</f>
        <v/>
      </c>
      <c r="D10" s="49">
        <f>(DCF!C$11/(1+$B10)^DCF!C$12+DCF!D$11/(1+$B10)^DCF!D$12+DCF!E$11/(1+$B10)^DCF!E$12+DCF!F$11/(1+$B10)^DCF!F$12+DCF!G$11/(1+$B10)^DCF!G$12+DCF!H$11/(1+$B10)^DCF!H$12+DCF!I$11/(1+$B10)^DCF!I$12+DCF!J$11/(1+$B10)^DCF!J$12+DCF!K$11/(1+$B10)^DCF!K$12+DCF!L$11/(1+$B10)^DCF!L$12+DCF!$C$18*D$4/(1+$B10)^DCF!$L$12+DCF!$C$28)/DCF!$C$30</f>
        <v/>
      </c>
      <c r="E10" s="49">
        <f>(DCF!C$11/(1+$B10)^DCF!C$12+DCF!D$11/(1+$B10)^DCF!D$12+DCF!E$11/(1+$B10)^DCF!E$12+DCF!F$11/(1+$B10)^DCF!F$12+DCF!G$11/(1+$B10)^DCF!G$12+DCF!H$11/(1+$B10)^DCF!H$12+DCF!I$11/(1+$B10)^DCF!I$12+DCF!J$11/(1+$B10)^DCF!J$12+DCF!K$11/(1+$B10)^DCF!K$12+DCF!L$11/(1+$B10)^DCF!L$12+DCF!$C$18*E$4/(1+$B10)^DCF!$L$12+DCF!$C$28)/DCF!$C$30</f>
        <v/>
      </c>
      <c r="F10" s="49">
        <f>(DCF!C$11/(1+$B10)^DCF!C$12+DCF!D$11/(1+$B10)^DCF!D$12+DCF!E$11/(1+$B10)^DCF!E$12+DCF!F$11/(1+$B10)^DCF!F$12+DCF!G$11/(1+$B10)^DCF!G$12+DCF!H$11/(1+$B10)^DCF!H$12+DCF!I$11/(1+$B10)^DCF!I$12+DCF!J$11/(1+$B10)^DCF!J$12+DCF!K$11/(1+$B10)^DCF!K$12+DCF!L$11/(1+$B10)^DCF!L$12+DCF!$C$18*F$4/(1+$B10)^DCF!$L$12+DCF!$C$28)/DCF!$C$30</f>
        <v/>
      </c>
      <c r="G10" s="49">
        <f>(DCF!C$11/(1+$B10)^DCF!C$12+DCF!D$11/(1+$B10)^DCF!D$12+DCF!E$11/(1+$B10)^DCF!E$12+DCF!F$11/(1+$B10)^DCF!F$12+DCF!G$11/(1+$B10)^DCF!G$12+DCF!H$11/(1+$B10)^DCF!H$12+DCF!I$11/(1+$B10)^DCF!I$12+DCF!J$11/(1+$B10)^DCF!J$12+DCF!K$11/(1+$B10)^DCF!K$12+DCF!L$11/(1+$B10)^DCF!L$12+DCF!$C$18*G$4/(1+$B10)^DCF!$L$12+DCF!$C$28)/DCF!$C$30</f>
        <v/>
      </c>
      <c r="H10" s="49">
        <f>(DCF!C$11/(1+$B10)^DCF!C$12+DCF!D$11/(1+$B10)^DCF!D$12+DCF!E$11/(1+$B10)^DCF!E$12+DCF!F$11/(1+$B10)^DCF!F$12+DCF!G$11/(1+$B10)^DCF!G$12+DCF!H$11/(1+$B10)^DCF!H$12+DCF!I$11/(1+$B10)^DCF!I$12+DCF!J$11/(1+$B10)^DCF!J$12+DCF!K$11/(1+$B10)^DCF!K$12+DCF!L$11/(1+$B10)^DCF!L$12+DCF!$C$18*H$4/(1+$B10)^DCF!$L$12+DCF!$C$28)/DCF!$C$30</f>
        <v/>
      </c>
      <c r="I10" s="49">
        <f>(DCF!C$11/(1+$B10)^DCF!C$12+DCF!D$11/(1+$B10)^DCF!D$12+DCF!E$11/(1+$B10)^DCF!E$12+DCF!F$11/(1+$B10)^DCF!F$12+DCF!G$11/(1+$B10)^DCF!G$12+DCF!H$11/(1+$B10)^DCF!H$12+DCF!I$11/(1+$B10)^DCF!I$12+DCF!J$11/(1+$B10)^DCF!J$12+DCF!K$11/(1+$B10)^DCF!K$12+DCF!L$11/(1+$B10)^DCF!L$12+DCF!$C$18*I$4/(1+$B10)^DCF!$L$12+DCF!$C$28)/DCF!$C$30</f>
        <v/>
      </c>
      <c r="J10" s="49">
        <f>(DCF!C$11/(1+$B10)^DCF!C$12+DCF!D$11/(1+$B10)^DCF!D$12+DCF!E$11/(1+$B10)^DCF!E$12+DCF!F$11/(1+$B10)^DCF!F$12+DCF!G$11/(1+$B10)^DCF!G$12+DCF!H$11/(1+$B10)^DCF!H$12+DCF!I$11/(1+$B10)^DCF!I$12+DCF!J$11/(1+$B10)^DCF!J$12+DCF!K$11/(1+$B10)^DCF!K$12+DCF!L$11/(1+$B10)^DCF!L$12+DCF!$C$18*J$4/(1+$B10)^DCF!$L$12+DCF!$C$28)/DCF!$C$30</f>
        <v/>
      </c>
    </row>
    <row r="11">
      <c r="B11" s="48">
        <f>DCF!$C$8+(3)*Assumptions!$C$35</f>
        <v/>
      </c>
      <c r="C11" s="49">
        <f>(DCF!C$11/(1+$B11)^DCF!C$12+DCF!D$11/(1+$B11)^DCF!D$12+DCF!E$11/(1+$B11)^DCF!E$12+DCF!F$11/(1+$B11)^DCF!F$12+DCF!G$11/(1+$B11)^DCF!G$12+DCF!H$11/(1+$B11)^DCF!H$12+DCF!I$11/(1+$B11)^DCF!I$12+DCF!J$11/(1+$B11)^DCF!J$12+DCF!K$11/(1+$B11)^DCF!K$12+DCF!L$11/(1+$B11)^DCF!L$12+DCF!$C$18*C$4/(1+$B11)^DCF!$L$12+DCF!$C$28)/DCF!$C$30</f>
        <v/>
      </c>
      <c r="D11" s="49">
        <f>(DCF!C$11/(1+$B11)^DCF!C$12+DCF!D$11/(1+$B11)^DCF!D$12+DCF!E$11/(1+$B11)^DCF!E$12+DCF!F$11/(1+$B11)^DCF!F$12+DCF!G$11/(1+$B11)^DCF!G$12+DCF!H$11/(1+$B11)^DCF!H$12+DCF!I$11/(1+$B11)^DCF!I$12+DCF!J$11/(1+$B11)^DCF!J$12+DCF!K$11/(1+$B11)^DCF!K$12+DCF!L$11/(1+$B11)^DCF!L$12+DCF!$C$18*D$4/(1+$B11)^DCF!$L$12+DCF!$C$28)/DCF!$C$30</f>
        <v/>
      </c>
      <c r="E11" s="49">
        <f>(DCF!C$11/(1+$B11)^DCF!C$12+DCF!D$11/(1+$B11)^DCF!D$12+DCF!E$11/(1+$B11)^DCF!E$12+DCF!F$11/(1+$B11)^DCF!F$12+DCF!G$11/(1+$B11)^DCF!G$12+DCF!H$11/(1+$B11)^DCF!H$12+DCF!I$11/(1+$B11)^DCF!I$12+DCF!J$11/(1+$B11)^DCF!J$12+DCF!K$11/(1+$B11)^DCF!K$12+DCF!L$11/(1+$B11)^DCF!L$12+DCF!$C$18*E$4/(1+$B11)^DCF!$L$12+DCF!$C$28)/DCF!$C$30</f>
        <v/>
      </c>
      <c r="F11" s="49">
        <f>(DCF!C$11/(1+$B11)^DCF!C$12+DCF!D$11/(1+$B11)^DCF!D$12+DCF!E$11/(1+$B11)^DCF!E$12+DCF!F$11/(1+$B11)^DCF!F$12+DCF!G$11/(1+$B11)^DCF!G$12+DCF!H$11/(1+$B11)^DCF!H$12+DCF!I$11/(1+$B11)^DCF!I$12+DCF!J$11/(1+$B11)^DCF!J$12+DCF!K$11/(1+$B11)^DCF!K$12+DCF!L$11/(1+$B11)^DCF!L$12+DCF!$C$18*F$4/(1+$B11)^DCF!$L$12+DCF!$C$28)/DCF!$C$30</f>
        <v/>
      </c>
      <c r="G11" s="49">
        <f>(DCF!C$11/(1+$B11)^DCF!C$12+DCF!D$11/(1+$B11)^DCF!D$12+DCF!E$11/(1+$B11)^DCF!E$12+DCF!F$11/(1+$B11)^DCF!F$12+DCF!G$11/(1+$B11)^DCF!G$12+DCF!H$11/(1+$B11)^DCF!H$12+DCF!I$11/(1+$B11)^DCF!I$12+DCF!J$11/(1+$B11)^DCF!J$12+DCF!K$11/(1+$B11)^DCF!K$12+DCF!L$11/(1+$B11)^DCF!L$12+DCF!$C$18*G$4/(1+$B11)^DCF!$L$12+DCF!$C$28)/DCF!$C$30</f>
        <v/>
      </c>
      <c r="H11" s="49">
        <f>(DCF!C$11/(1+$B11)^DCF!C$12+DCF!D$11/(1+$B11)^DCF!D$12+DCF!E$11/(1+$B11)^DCF!E$12+DCF!F$11/(1+$B11)^DCF!F$12+DCF!G$11/(1+$B11)^DCF!G$12+DCF!H$11/(1+$B11)^DCF!H$12+DCF!I$11/(1+$B11)^DCF!I$12+DCF!J$11/(1+$B11)^DCF!J$12+DCF!K$11/(1+$B11)^DCF!K$12+DCF!L$11/(1+$B11)^DCF!L$12+DCF!$C$18*H$4/(1+$B11)^DCF!$L$12+DCF!$C$28)/DCF!$C$30</f>
        <v/>
      </c>
      <c r="I11" s="49">
        <f>(DCF!C$11/(1+$B11)^DCF!C$12+DCF!D$11/(1+$B11)^DCF!D$12+DCF!E$11/(1+$B11)^DCF!E$12+DCF!F$11/(1+$B11)^DCF!F$12+DCF!G$11/(1+$B11)^DCF!G$12+DCF!H$11/(1+$B11)^DCF!H$12+DCF!I$11/(1+$B11)^DCF!I$12+DCF!J$11/(1+$B11)^DCF!J$12+DCF!K$11/(1+$B11)^DCF!K$12+DCF!L$11/(1+$B11)^DCF!L$12+DCF!$C$18*I$4/(1+$B11)^DCF!$L$12+DCF!$C$28)/DCF!$C$30</f>
        <v/>
      </c>
      <c r="J11" s="49">
        <f>(DCF!C$11/(1+$B11)^DCF!C$12+DCF!D$11/(1+$B11)^DCF!D$12+DCF!E$11/(1+$B11)^DCF!E$12+DCF!F$11/(1+$B11)^DCF!F$12+DCF!G$11/(1+$B11)^DCF!G$12+DCF!H$11/(1+$B11)^DCF!H$12+DCF!I$11/(1+$B11)^DCF!I$12+DCF!J$11/(1+$B11)^DCF!J$12+DCF!K$11/(1+$B11)^DCF!K$12+DCF!L$11/(1+$B11)^DCF!L$12+DCF!$C$18*J$4/(1+$B11)^DCF!$L$12+DCF!$C$28)/DCF!$C$30</f>
        <v/>
      </c>
    </row>
    <row r="12">
      <c r="B12" s="48">
        <f>DCF!$C$8+(4)*Assumptions!$C$35</f>
        <v/>
      </c>
      <c r="C12" s="49">
        <f>(DCF!C$11/(1+$B12)^DCF!C$12+DCF!D$11/(1+$B12)^DCF!D$12+DCF!E$11/(1+$B12)^DCF!E$12+DCF!F$11/(1+$B12)^DCF!F$12+DCF!G$11/(1+$B12)^DCF!G$12+DCF!H$11/(1+$B12)^DCF!H$12+DCF!I$11/(1+$B12)^DCF!I$12+DCF!J$11/(1+$B12)^DCF!J$12+DCF!K$11/(1+$B12)^DCF!K$12+DCF!L$11/(1+$B12)^DCF!L$12+DCF!$C$18*C$4/(1+$B12)^DCF!$L$12+DCF!$C$28)/DCF!$C$30</f>
        <v/>
      </c>
      <c r="D12" s="49">
        <f>(DCF!C$11/(1+$B12)^DCF!C$12+DCF!D$11/(1+$B12)^DCF!D$12+DCF!E$11/(1+$B12)^DCF!E$12+DCF!F$11/(1+$B12)^DCF!F$12+DCF!G$11/(1+$B12)^DCF!G$12+DCF!H$11/(1+$B12)^DCF!H$12+DCF!I$11/(1+$B12)^DCF!I$12+DCF!J$11/(1+$B12)^DCF!J$12+DCF!K$11/(1+$B12)^DCF!K$12+DCF!L$11/(1+$B12)^DCF!L$12+DCF!$C$18*D$4/(1+$B12)^DCF!$L$12+DCF!$C$28)/DCF!$C$30</f>
        <v/>
      </c>
      <c r="E12" s="49">
        <f>(DCF!C$11/(1+$B12)^DCF!C$12+DCF!D$11/(1+$B12)^DCF!D$12+DCF!E$11/(1+$B12)^DCF!E$12+DCF!F$11/(1+$B12)^DCF!F$12+DCF!G$11/(1+$B12)^DCF!G$12+DCF!H$11/(1+$B12)^DCF!H$12+DCF!I$11/(1+$B12)^DCF!I$12+DCF!J$11/(1+$B12)^DCF!J$12+DCF!K$11/(1+$B12)^DCF!K$12+DCF!L$11/(1+$B12)^DCF!L$12+DCF!$C$18*E$4/(1+$B12)^DCF!$L$12+DCF!$C$28)/DCF!$C$30</f>
        <v/>
      </c>
      <c r="F12" s="49">
        <f>(DCF!C$11/(1+$B12)^DCF!C$12+DCF!D$11/(1+$B12)^DCF!D$12+DCF!E$11/(1+$B12)^DCF!E$12+DCF!F$11/(1+$B12)^DCF!F$12+DCF!G$11/(1+$B12)^DCF!G$12+DCF!H$11/(1+$B12)^DCF!H$12+DCF!I$11/(1+$B12)^DCF!I$12+DCF!J$11/(1+$B12)^DCF!J$12+DCF!K$11/(1+$B12)^DCF!K$12+DCF!L$11/(1+$B12)^DCF!L$12+DCF!$C$18*F$4/(1+$B12)^DCF!$L$12+DCF!$C$28)/DCF!$C$30</f>
        <v/>
      </c>
      <c r="G12" s="49">
        <f>(DCF!C$11/(1+$B12)^DCF!C$12+DCF!D$11/(1+$B12)^DCF!D$12+DCF!E$11/(1+$B12)^DCF!E$12+DCF!F$11/(1+$B12)^DCF!F$12+DCF!G$11/(1+$B12)^DCF!G$12+DCF!H$11/(1+$B12)^DCF!H$12+DCF!I$11/(1+$B12)^DCF!I$12+DCF!J$11/(1+$B12)^DCF!J$12+DCF!K$11/(1+$B12)^DCF!K$12+DCF!L$11/(1+$B12)^DCF!L$12+DCF!$C$18*G$4/(1+$B12)^DCF!$L$12+DCF!$C$28)/DCF!$C$30</f>
        <v/>
      </c>
      <c r="H12" s="49">
        <f>(DCF!C$11/(1+$B12)^DCF!C$12+DCF!D$11/(1+$B12)^DCF!D$12+DCF!E$11/(1+$B12)^DCF!E$12+DCF!F$11/(1+$B12)^DCF!F$12+DCF!G$11/(1+$B12)^DCF!G$12+DCF!H$11/(1+$B12)^DCF!H$12+DCF!I$11/(1+$B12)^DCF!I$12+DCF!J$11/(1+$B12)^DCF!J$12+DCF!K$11/(1+$B12)^DCF!K$12+DCF!L$11/(1+$B12)^DCF!L$12+DCF!$C$18*H$4/(1+$B12)^DCF!$L$12+DCF!$C$28)/DCF!$C$30</f>
        <v/>
      </c>
      <c r="I12" s="49">
        <f>(DCF!C$11/(1+$B12)^DCF!C$12+DCF!D$11/(1+$B12)^DCF!D$12+DCF!E$11/(1+$B12)^DCF!E$12+DCF!F$11/(1+$B12)^DCF!F$12+DCF!G$11/(1+$B12)^DCF!G$12+DCF!H$11/(1+$B12)^DCF!H$12+DCF!I$11/(1+$B12)^DCF!I$12+DCF!J$11/(1+$B12)^DCF!J$12+DCF!K$11/(1+$B12)^DCF!K$12+DCF!L$11/(1+$B12)^DCF!L$12+DCF!$C$18*I$4/(1+$B12)^DCF!$L$12+DCF!$C$28)/DCF!$C$30</f>
        <v/>
      </c>
      <c r="J12" s="49">
        <f>(DCF!C$11/(1+$B12)^DCF!C$12+DCF!D$11/(1+$B12)^DCF!D$12+DCF!E$11/(1+$B12)^DCF!E$12+DCF!F$11/(1+$B12)^DCF!F$12+DCF!G$11/(1+$B12)^DCF!G$12+DCF!H$11/(1+$B12)^DCF!H$12+DCF!I$11/(1+$B12)^DCF!I$12+DCF!J$11/(1+$B12)^DCF!J$12+DCF!K$11/(1+$B12)^DCF!K$12+DCF!L$11/(1+$B12)^DCF!L$12+DCF!$C$18*J$4/(1+$B12)^DCF!$L$12+DCF!$C$28)/DCF!$C$30</f>
        <v/>
      </c>
    </row>
    <row r="13">
      <c r="B13" s="24" t="inlineStr">
        <is>
          <t>Boxed cell (4th row, 4th column) = base case = DCF!C31. Axes step from Assumptions.</t>
        </is>
      </c>
    </row>
    <row r="15">
      <c r="B15" s="8" t="inlineStr">
        <is>
          <t>VALUE PER SHARE — WACC vs. Terminal (2035E) Revenue  (base multiple)</t>
        </is>
      </c>
    </row>
    <row r="16">
      <c r="B16" s="3" t="inlineStr">
        <is>
          <t>WACC ↓  |  2035E Rev →</t>
        </is>
      </c>
      <c r="C16" s="51">
        <f>DCF!$C$18*(1+(-3)*Assumptions!$C$37)</f>
        <v/>
      </c>
      <c r="D16" s="51">
        <f>DCF!$C$18*(1+(-2)*Assumptions!$C$37)</f>
        <v/>
      </c>
      <c r="E16" s="51">
        <f>DCF!$C$18*(1+(-1)*Assumptions!$C$37)</f>
        <v/>
      </c>
      <c r="F16" s="51">
        <f>DCF!$C$18*(1+(0)*Assumptions!$C$37)</f>
        <v/>
      </c>
      <c r="G16" s="51">
        <f>DCF!$C$18*(1+(1)*Assumptions!$C$37)</f>
        <v/>
      </c>
      <c r="H16" s="51">
        <f>DCF!$C$18*(1+(2)*Assumptions!$C$37)</f>
        <v/>
      </c>
      <c r="I16" s="51">
        <f>DCF!$C$18*(1+(3)*Assumptions!$C$37)</f>
        <v/>
      </c>
      <c r="J16" s="51">
        <f>DCF!$C$18*(1+(4)*Assumptions!$C$37)</f>
        <v/>
      </c>
    </row>
    <row r="17">
      <c r="B17" s="48">
        <f>DCF!$C$8+(-3)*Assumptions!$C$35</f>
        <v/>
      </c>
      <c r="C17" s="49">
        <f>(DCF!C$11/(1+$B17)^DCF!C$12+DCF!D$11/(1+$B17)^DCF!D$12+DCF!E$11/(1+$B17)^DCF!E$12+DCF!F$11/(1+$B17)^DCF!F$12+DCF!G$11/(1+$B17)^DCF!G$12+DCF!H$11/(1+$B17)^DCF!H$12+DCF!I$11/(1+$B17)^DCF!I$12+DCF!J$11/(1+$B17)^DCF!J$12+DCF!K$11/(1+$B17)^DCF!K$12+DCF!L$11/(1+$B17)^DCF!L$12+C$16*DCF!$C$19/(1+$B17)^DCF!$L$12+DCF!$C$28)/DCF!$C$30</f>
        <v/>
      </c>
      <c r="D17" s="49">
        <f>(DCF!C$11/(1+$B17)^DCF!C$12+DCF!D$11/(1+$B17)^DCF!D$12+DCF!E$11/(1+$B17)^DCF!E$12+DCF!F$11/(1+$B17)^DCF!F$12+DCF!G$11/(1+$B17)^DCF!G$12+DCF!H$11/(1+$B17)^DCF!H$12+DCF!I$11/(1+$B17)^DCF!I$12+DCF!J$11/(1+$B17)^DCF!J$12+DCF!K$11/(1+$B17)^DCF!K$12+DCF!L$11/(1+$B17)^DCF!L$12+D$16*DCF!$C$19/(1+$B17)^DCF!$L$12+DCF!$C$28)/DCF!$C$30</f>
        <v/>
      </c>
      <c r="E17" s="49">
        <f>(DCF!C$11/(1+$B17)^DCF!C$12+DCF!D$11/(1+$B17)^DCF!D$12+DCF!E$11/(1+$B17)^DCF!E$12+DCF!F$11/(1+$B17)^DCF!F$12+DCF!G$11/(1+$B17)^DCF!G$12+DCF!H$11/(1+$B17)^DCF!H$12+DCF!I$11/(1+$B17)^DCF!I$12+DCF!J$11/(1+$B17)^DCF!J$12+DCF!K$11/(1+$B17)^DCF!K$12+DCF!L$11/(1+$B17)^DCF!L$12+E$16*DCF!$C$19/(1+$B17)^DCF!$L$12+DCF!$C$28)/DCF!$C$30</f>
        <v/>
      </c>
      <c r="F17" s="49">
        <f>(DCF!C$11/(1+$B17)^DCF!C$12+DCF!D$11/(1+$B17)^DCF!D$12+DCF!E$11/(1+$B17)^DCF!E$12+DCF!F$11/(1+$B17)^DCF!F$12+DCF!G$11/(1+$B17)^DCF!G$12+DCF!H$11/(1+$B17)^DCF!H$12+DCF!I$11/(1+$B17)^DCF!I$12+DCF!J$11/(1+$B17)^DCF!J$12+DCF!K$11/(1+$B17)^DCF!K$12+DCF!L$11/(1+$B17)^DCF!L$12+F$16*DCF!$C$19/(1+$B17)^DCF!$L$12+DCF!$C$28)/DCF!$C$30</f>
        <v/>
      </c>
      <c r="G17" s="49">
        <f>(DCF!C$11/(1+$B17)^DCF!C$12+DCF!D$11/(1+$B17)^DCF!D$12+DCF!E$11/(1+$B17)^DCF!E$12+DCF!F$11/(1+$B17)^DCF!F$12+DCF!G$11/(1+$B17)^DCF!G$12+DCF!H$11/(1+$B17)^DCF!H$12+DCF!I$11/(1+$B17)^DCF!I$12+DCF!J$11/(1+$B17)^DCF!J$12+DCF!K$11/(1+$B17)^DCF!K$12+DCF!L$11/(1+$B17)^DCF!L$12+G$16*DCF!$C$19/(1+$B17)^DCF!$L$12+DCF!$C$28)/DCF!$C$30</f>
        <v/>
      </c>
      <c r="H17" s="49">
        <f>(DCF!C$11/(1+$B17)^DCF!C$12+DCF!D$11/(1+$B17)^DCF!D$12+DCF!E$11/(1+$B17)^DCF!E$12+DCF!F$11/(1+$B17)^DCF!F$12+DCF!G$11/(1+$B17)^DCF!G$12+DCF!H$11/(1+$B17)^DCF!H$12+DCF!I$11/(1+$B17)^DCF!I$12+DCF!J$11/(1+$B17)^DCF!J$12+DCF!K$11/(1+$B17)^DCF!K$12+DCF!L$11/(1+$B17)^DCF!L$12+H$16*DCF!$C$19/(1+$B17)^DCF!$L$12+DCF!$C$28)/DCF!$C$30</f>
        <v/>
      </c>
      <c r="I17" s="49">
        <f>(DCF!C$11/(1+$B17)^DCF!C$12+DCF!D$11/(1+$B17)^DCF!D$12+DCF!E$11/(1+$B17)^DCF!E$12+DCF!F$11/(1+$B17)^DCF!F$12+DCF!G$11/(1+$B17)^DCF!G$12+DCF!H$11/(1+$B17)^DCF!H$12+DCF!I$11/(1+$B17)^DCF!I$12+DCF!J$11/(1+$B17)^DCF!J$12+DCF!K$11/(1+$B17)^DCF!K$12+DCF!L$11/(1+$B17)^DCF!L$12+I$16*DCF!$C$19/(1+$B17)^DCF!$L$12+DCF!$C$28)/DCF!$C$30</f>
        <v/>
      </c>
      <c r="J17" s="49">
        <f>(DCF!C$11/(1+$B17)^DCF!C$12+DCF!D$11/(1+$B17)^DCF!D$12+DCF!E$11/(1+$B17)^DCF!E$12+DCF!F$11/(1+$B17)^DCF!F$12+DCF!G$11/(1+$B17)^DCF!G$12+DCF!H$11/(1+$B17)^DCF!H$12+DCF!I$11/(1+$B17)^DCF!I$12+DCF!J$11/(1+$B17)^DCF!J$12+DCF!K$11/(1+$B17)^DCF!K$12+DCF!L$11/(1+$B17)^DCF!L$12+J$16*DCF!$C$19/(1+$B17)^DCF!$L$12+DCF!$C$28)/DCF!$C$30</f>
        <v/>
      </c>
    </row>
    <row r="18">
      <c r="B18" s="48">
        <f>DCF!$C$8+(-2)*Assumptions!$C$35</f>
        <v/>
      </c>
      <c r="C18" s="49">
        <f>(DCF!C$11/(1+$B18)^DCF!C$12+DCF!D$11/(1+$B18)^DCF!D$12+DCF!E$11/(1+$B18)^DCF!E$12+DCF!F$11/(1+$B18)^DCF!F$12+DCF!G$11/(1+$B18)^DCF!G$12+DCF!H$11/(1+$B18)^DCF!H$12+DCF!I$11/(1+$B18)^DCF!I$12+DCF!J$11/(1+$B18)^DCF!J$12+DCF!K$11/(1+$B18)^DCF!K$12+DCF!L$11/(1+$B18)^DCF!L$12+C$16*DCF!$C$19/(1+$B18)^DCF!$L$12+DCF!$C$28)/DCF!$C$30</f>
        <v/>
      </c>
      <c r="D18" s="49">
        <f>(DCF!C$11/(1+$B18)^DCF!C$12+DCF!D$11/(1+$B18)^DCF!D$12+DCF!E$11/(1+$B18)^DCF!E$12+DCF!F$11/(1+$B18)^DCF!F$12+DCF!G$11/(1+$B18)^DCF!G$12+DCF!H$11/(1+$B18)^DCF!H$12+DCF!I$11/(1+$B18)^DCF!I$12+DCF!J$11/(1+$B18)^DCF!J$12+DCF!K$11/(1+$B18)^DCF!K$12+DCF!L$11/(1+$B18)^DCF!L$12+D$16*DCF!$C$19/(1+$B18)^DCF!$L$12+DCF!$C$28)/DCF!$C$30</f>
        <v/>
      </c>
      <c r="E18" s="49">
        <f>(DCF!C$11/(1+$B18)^DCF!C$12+DCF!D$11/(1+$B18)^DCF!D$12+DCF!E$11/(1+$B18)^DCF!E$12+DCF!F$11/(1+$B18)^DCF!F$12+DCF!G$11/(1+$B18)^DCF!G$12+DCF!H$11/(1+$B18)^DCF!H$12+DCF!I$11/(1+$B18)^DCF!I$12+DCF!J$11/(1+$B18)^DCF!J$12+DCF!K$11/(1+$B18)^DCF!K$12+DCF!L$11/(1+$B18)^DCF!L$12+E$16*DCF!$C$19/(1+$B18)^DCF!$L$12+DCF!$C$28)/DCF!$C$30</f>
        <v/>
      </c>
      <c r="F18" s="49">
        <f>(DCF!C$11/(1+$B18)^DCF!C$12+DCF!D$11/(1+$B18)^DCF!D$12+DCF!E$11/(1+$B18)^DCF!E$12+DCF!F$11/(1+$B18)^DCF!F$12+DCF!G$11/(1+$B18)^DCF!G$12+DCF!H$11/(1+$B18)^DCF!H$12+DCF!I$11/(1+$B18)^DCF!I$12+DCF!J$11/(1+$B18)^DCF!J$12+DCF!K$11/(1+$B18)^DCF!K$12+DCF!L$11/(1+$B18)^DCF!L$12+F$16*DCF!$C$19/(1+$B18)^DCF!$L$12+DCF!$C$28)/DCF!$C$30</f>
        <v/>
      </c>
      <c r="G18" s="49">
        <f>(DCF!C$11/(1+$B18)^DCF!C$12+DCF!D$11/(1+$B18)^DCF!D$12+DCF!E$11/(1+$B18)^DCF!E$12+DCF!F$11/(1+$B18)^DCF!F$12+DCF!G$11/(1+$B18)^DCF!G$12+DCF!H$11/(1+$B18)^DCF!H$12+DCF!I$11/(1+$B18)^DCF!I$12+DCF!J$11/(1+$B18)^DCF!J$12+DCF!K$11/(1+$B18)^DCF!K$12+DCF!L$11/(1+$B18)^DCF!L$12+G$16*DCF!$C$19/(1+$B18)^DCF!$L$12+DCF!$C$28)/DCF!$C$30</f>
        <v/>
      </c>
      <c r="H18" s="49">
        <f>(DCF!C$11/(1+$B18)^DCF!C$12+DCF!D$11/(1+$B18)^DCF!D$12+DCF!E$11/(1+$B18)^DCF!E$12+DCF!F$11/(1+$B18)^DCF!F$12+DCF!G$11/(1+$B18)^DCF!G$12+DCF!H$11/(1+$B18)^DCF!H$12+DCF!I$11/(1+$B18)^DCF!I$12+DCF!J$11/(1+$B18)^DCF!J$12+DCF!K$11/(1+$B18)^DCF!K$12+DCF!L$11/(1+$B18)^DCF!L$12+H$16*DCF!$C$19/(1+$B18)^DCF!$L$12+DCF!$C$28)/DCF!$C$30</f>
        <v/>
      </c>
      <c r="I18" s="49">
        <f>(DCF!C$11/(1+$B18)^DCF!C$12+DCF!D$11/(1+$B18)^DCF!D$12+DCF!E$11/(1+$B18)^DCF!E$12+DCF!F$11/(1+$B18)^DCF!F$12+DCF!G$11/(1+$B18)^DCF!G$12+DCF!H$11/(1+$B18)^DCF!H$12+DCF!I$11/(1+$B18)^DCF!I$12+DCF!J$11/(1+$B18)^DCF!J$12+DCF!K$11/(1+$B18)^DCF!K$12+DCF!L$11/(1+$B18)^DCF!L$12+I$16*DCF!$C$19/(1+$B18)^DCF!$L$12+DCF!$C$28)/DCF!$C$30</f>
        <v/>
      </c>
      <c r="J18" s="49">
        <f>(DCF!C$11/(1+$B18)^DCF!C$12+DCF!D$11/(1+$B18)^DCF!D$12+DCF!E$11/(1+$B18)^DCF!E$12+DCF!F$11/(1+$B18)^DCF!F$12+DCF!G$11/(1+$B18)^DCF!G$12+DCF!H$11/(1+$B18)^DCF!H$12+DCF!I$11/(1+$B18)^DCF!I$12+DCF!J$11/(1+$B18)^DCF!J$12+DCF!K$11/(1+$B18)^DCF!K$12+DCF!L$11/(1+$B18)^DCF!L$12+J$16*DCF!$C$19/(1+$B18)^DCF!$L$12+DCF!$C$28)/DCF!$C$30</f>
        <v/>
      </c>
    </row>
    <row r="19">
      <c r="B19" s="48">
        <f>DCF!$C$8+(-1)*Assumptions!$C$35</f>
        <v/>
      </c>
      <c r="C19" s="49">
        <f>(DCF!C$11/(1+$B19)^DCF!C$12+DCF!D$11/(1+$B19)^DCF!D$12+DCF!E$11/(1+$B19)^DCF!E$12+DCF!F$11/(1+$B19)^DCF!F$12+DCF!G$11/(1+$B19)^DCF!G$12+DCF!H$11/(1+$B19)^DCF!H$12+DCF!I$11/(1+$B19)^DCF!I$12+DCF!J$11/(1+$B19)^DCF!J$12+DCF!K$11/(1+$B19)^DCF!K$12+DCF!L$11/(1+$B19)^DCF!L$12+C$16*DCF!$C$19/(1+$B19)^DCF!$L$12+DCF!$C$28)/DCF!$C$30</f>
        <v/>
      </c>
      <c r="D19" s="49">
        <f>(DCF!C$11/(1+$B19)^DCF!C$12+DCF!D$11/(1+$B19)^DCF!D$12+DCF!E$11/(1+$B19)^DCF!E$12+DCF!F$11/(1+$B19)^DCF!F$12+DCF!G$11/(1+$B19)^DCF!G$12+DCF!H$11/(1+$B19)^DCF!H$12+DCF!I$11/(1+$B19)^DCF!I$12+DCF!J$11/(1+$B19)^DCF!J$12+DCF!K$11/(1+$B19)^DCF!K$12+DCF!L$11/(1+$B19)^DCF!L$12+D$16*DCF!$C$19/(1+$B19)^DCF!$L$12+DCF!$C$28)/DCF!$C$30</f>
        <v/>
      </c>
      <c r="E19" s="49">
        <f>(DCF!C$11/(1+$B19)^DCF!C$12+DCF!D$11/(1+$B19)^DCF!D$12+DCF!E$11/(1+$B19)^DCF!E$12+DCF!F$11/(1+$B19)^DCF!F$12+DCF!G$11/(1+$B19)^DCF!G$12+DCF!H$11/(1+$B19)^DCF!H$12+DCF!I$11/(1+$B19)^DCF!I$12+DCF!J$11/(1+$B19)^DCF!J$12+DCF!K$11/(1+$B19)^DCF!K$12+DCF!L$11/(1+$B19)^DCF!L$12+E$16*DCF!$C$19/(1+$B19)^DCF!$L$12+DCF!$C$28)/DCF!$C$30</f>
        <v/>
      </c>
      <c r="F19" s="49">
        <f>(DCF!C$11/(1+$B19)^DCF!C$12+DCF!D$11/(1+$B19)^DCF!D$12+DCF!E$11/(1+$B19)^DCF!E$12+DCF!F$11/(1+$B19)^DCF!F$12+DCF!G$11/(1+$B19)^DCF!G$12+DCF!H$11/(1+$B19)^DCF!H$12+DCF!I$11/(1+$B19)^DCF!I$12+DCF!J$11/(1+$B19)^DCF!J$12+DCF!K$11/(1+$B19)^DCF!K$12+DCF!L$11/(1+$B19)^DCF!L$12+F$16*DCF!$C$19/(1+$B19)^DCF!$L$12+DCF!$C$28)/DCF!$C$30</f>
        <v/>
      </c>
      <c r="G19" s="49">
        <f>(DCF!C$11/(1+$B19)^DCF!C$12+DCF!D$11/(1+$B19)^DCF!D$12+DCF!E$11/(1+$B19)^DCF!E$12+DCF!F$11/(1+$B19)^DCF!F$12+DCF!G$11/(1+$B19)^DCF!G$12+DCF!H$11/(1+$B19)^DCF!H$12+DCF!I$11/(1+$B19)^DCF!I$12+DCF!J$11/(1+$B19)^DCF!J$12+DCF!K$11/(1+$B19)^DCF!K$12+DCF!L$11/(1+$B19)^DCF!L$12+G$16*DCF!$C$19/(1+$B19)^DCF!$L$12+DCF!$C$28)/DCF!$C$30</f>
        <v/>
      </c>
      <c r="H19" s="49">
        <f>(DCF!C$11/(1+$B19)^DCF!C$12+DCF!D$11/(1+$B19)^DCF!D$12+DCF!E$11/(1+$B19)^DCF!E$12+DCF!F$11/(1+$B19)^DCF!F$12+DCF!G$11/(1+$B19)^DCF!G$12+DCF!H$11/(1+$B19)^DCF!H$12+DCF!I$11/(1+$B19)^DCF!I$12+DCF!J$11/(1+$B19)^DCF!J$12+DCF!K$11/(1+$B19)^DCF!K$12+DCF!L$11/(1+$B19)^DCF!L$12+H$16*DCF!$C$19/(1+$B19)^DCF!$L$12+DCF!$C$28)/DCF!$C$30</f>
        <v/>
      </c>
      <c r="I19" s="49">
        <f>(DCF!C$11/(1+$B19)^DCF!C$12+DCF!D$11/(1+$B19)^DCF!D$12+DCF!E$11/(1+$B19)^DCF!E$12+DCF!F$11/(1+$B19)^DCF!F$12+DCF!G$11/(1+$B19)^DCF!G$12+DCF!H$11/(1+$B19)^DCF!H$12+DCF!I$11/(1+$B19)^DCF!I$12+DCF!J$11/(1+$B19)^DCF!J$12+DCF!K$11/(1+$B19)^DCF!K$12+DCF!L$11/(1+$B19)^DCF!L$12+I$16*DCF!$C$19/(1+$B19)^DCF!$L$12+DCF!$C$28)/DCF!$C$30</f>
        <v/>
      </c>
      <c r="J19" s="49">
        <f>(DCF!C$11/(1+$B19)^DCF!C$12+DCF!D$11/(1+$B19)^DCF!D$12+DCF!E$11/(1+$B19)^DCF!E$12+DCF!F$11/(1+$B19)^DCF!F$12+DCF!G$11/(1+$B19)^DCF!G$12+DCF!H$11/(1+$B19)^DCF!H$12+DCF!I$11/(1+$B19)^DCF!I$12+DCF!J$11/(1+$B19)^DCF!J$12+DCF!K$11/(1+$B19)^DCF!K$12+DCF!L$11/(1+$B19)^DCF!L$12+J$16*DCF!$C$19/(1+$B19)^DCF!$L$12+DCF!$C$28)/DCF!$C$30</f>
        <v/>
      </c>
    </row>
    <row r="20">
      <c r="B20" s="48">
        <f>DCF!$C$8+(0)*Assumptions!$C$35</f>
        <v/>
      </c>
      <c r="C20" s="49">
        <f>(DCF!C$11/(1+$B20)^DCF!C$12+DCF!D$11/(1+$B20)^DCF!D$12+DCF!E$11/(1+$B20)^DCF!E$12+DCF!F$11/(1+$B20)^DCF!F$12+DCF!G$11/(1+$B20)^DCF!G$12+DCF!H$11/(1+$B20)^DCF!H$12+DCF!I$11/(1+$B20)^DCF!I$12+DCF!J$11/(1+$B20)^DCF!J$12+DCF!K$11/(1+$B20)^DCF!K$12+DCF!L$11/(1+$B20)^DCF!L$12+C$16*DCF!$C$19/(1+$B20)^DCF!$L$12+DCF!$C$28)/DCF!$C$30</f>
        <v/>
      </c>
      <c r="D20" s="49">
        <f>(DCF!C$11/(1+$B20)^DCF!C$12+DCF!D$11/(1+$B20)^DCF!D$12+DCF!E$11/(1+$B20)^DCF!E$12+DCF!F$11/(1+$B20)^DCF!F$12+DCF!G$11/(1+$B20)^DCF!G$12+DCF!H$11/(1+$B20)^DCF!H$12+DCF!I$11/(1+$B20)^DCF!I$12+DCF!J$11/(1+$B20)^DCF!J$12+DCF!K$11/(1+$B20)^DCF!K$12+DCF!L$11/(1+$B20)^DCF!L$12+D$16*DCF!$C$19/(1+$B20)^DCF!$L$12+DCF!$C$28)/DCF!$C$30</f>
        <v/>
      </c>
      <c r="E20" s="49">
        <f>(DCF!C$11/(1+$B20)^DCF!C$12+DCF!D$11/(1+$B20)^DCF!D$12+DCF!E$11/(1+$B20)^DCF!E$12+DCF!F$11/(1+$B20)^DCF!F$12+DCF!G$11/(1+$B20)^DCF!G$12+DCF!H$11/(1+$B20)^DCF!H$12+DCF!I$11/(1+$B20)^DCF!I$12+DCF!J$11/(1+$B20)^DCF!J$12+DCF!K$11/(1+$B20)^DCF!K$12+DCF!L$11/(1+$B20)^DCF!L$12+E$16*DCF!$C$19/(1+$B20)^DCF!$L$12+DCF!$C$28)/DCF!$C$30</f>
        <v/>
      </c>
      <c r="F20" s="50">
        <f>(DCF!C$11/(1+$B20)^DCF!C$12+DCF!D$11/(1+$B20)^DCF!D$12+DCF!E$11/(1+$B20)^DCF!E$12+DCF!F$11/(1+$B20)^DCF!F$12+DCF!G$11/(1+$B20)^DCF!G$12+DCF!H$11/(1+$B20)^DCF!H$12+DCF!I$11/(1+$B20)^DCF!I$12+DCF!J$11/(1+$B20)^DCF!J$12+DCF!K$11/(1+$B20)^DCF!K$12+DCF!L$11/(1+$B20)^DCF!L$12+F$16*DCF!$C$19/(1+$B20)^DCF!$L$12+DCF!$C$28)/DCF!$C$30</f>
        <v/>
      </c>
      <c r="G20" s="49">
        <f>(DCF!C$11/(1+$B20)^DCF!C$12+DCF!D$11/(1+$B20)^DCF!D$12+DCF!E$11/(1+$B20)^DCF!E$12+DCF!F$11/(1+$B20)^DCF!F$12+DCF!G$11/(1+$B20)^DCF!G$12+DCF!H$11/(1+$B20)^DCF!H$12+DCF!I$11/(1+$B20)^DCF!I$12+DCF!J$11/(1+$B20)^DCF!J$12+DCF!K$11/(1+$B20)^DCF!K$12+DCF!L$11/(1+$B20)^DCF!L$12+G$16*DCF!$C$19/(1+$B20)^DCF!$L$12+DCF!$C$28)/DCF!$C$30</f>
        <v/>
      </c>
      <c r="H20" s="49">
        <f>(DCF!C$11/(1+$B20)^DCF!C$12+DCF!D$11/(1+$B20)^DCF!D$12+DCF!E$11/(1+$B20)^DCF!E$12+DCF!F$11/(1+$B20)^DCF!F$12+DCF!G$11/(1+$B20)^DCF!G$12+DCF!H$11/(1+$B20)^DCF!H$12+DCF!I$11/(1+$B20)^DCF!I$12+DCF!J$11/(1+$B20)^DCF!J$12+DCF!K$11/(1+$B20)^DCF!K$12+DCF!L$11/(1+$B20)^DCF!L$12+H$16*DCF!$C$19/(1+$B20)^DCF!$L$12+DCF!$C$28)/DCF!$C$30</f>
        <v/>
      </c>
      <c r="I20" s="49">
        <f>(DCF!C$11/(1+$B20)^DCF!C$12+DCF!D$11/(1+$B20)^DCF!D$12+DCF!E$11/(1+$B20)^DCF!E$12+DCF!F$11/(1+$B20)^DCF!F$12+DCF!G$11/(1+$B20)^DCF!G$12+DCF!H$11/(1+$B20)^DCF!H$12+DCF!I$11/(1+$B20)^DCF!I$12+DCF!J$11/(1+$B20)^DCF!J$12+DCF!K$11/(1+$B20)^DCF!K$12+DCF!L$11/(1+$B20)^DCF!L$12+I$16*DCF!$C$19/(1+$B20)^DCF!$L$12+DCF!$C$28)/DCF!$C$30</f>
        <v/>
      </c>
      <c r="J20" s="49">
        <f>(DCF!C$11/(1+$B20)^DCF!C$12+DCF!D$11/(1+$B20)^DCF!D$12+DCF!E$11/(1+$B20)^DCF!E$12+DCF!F$11/(1+$B20)^DCF!F$12+DCF!G$11/(1+$B20)^DCF!G$12+DCF!H$11/(1+$B20)^DCF!H$12+DCF!I$11/(1+$B20)^DCF!I$12+DCF!J$11/(1+$B20)^DCF!J$12+DCF!K$11/(1+$B20)^DCF!K$12+DCF!L$11/(1+$B20)^DCF!L$12+J$16*DCF!$C$19/(1+$B20)^DCF!$L$12+DCF!$C$28)/DCF!$C$30</f>
        <v/>
      </c>
    </row>
    <row r="21">
      <c r="B21" s="48">
        <f>DCF!$C$8+(1)*Assumptions!$C$35</f>
        <v/>
      </c>
      <c r="C21" s="49">
        <f>(DCF!C$11/(1+$B21)^DCF!C$12+DCF!D$11/(1+$B21)^DCF!D$12+DCF!E$11/(1+$B21)^DCF!E$12+DCF!F$11/(1+$B21)^DCF!F$12+DCF!G$11/(1+$B21)^DCF!G$12+DCF!H$11/(1+$B21)^DCF!H$12+DCF!I$11/(1+$B21)^DCF!I$12+DCF!J$11/(1+$B21)^DCF!J$12+DCF!K$11/(1+$B21)^DCF!K$12+DCF!L$11/(1+$B21)^DCF!L$12+C$16*DCF!$C$19/(1+$B21)^DCF!$L$12+DCF!$C$28)/DCF!$C$30</f>
        <v/>
      </c>
      <c r="D21" s="49">
        <f>(DCF!C$11/(1+$B21)^DCF!C$12+DCF!D$11/(1+$B21)^DCF!D$12+DCF!E$11/(1+$B21)^DCF!E$12+DCF!F$11/(1+$B21)^DCF!F$12+DCF!G$11/(1+$B21)^DCF!G$12+DCF!H$11/(1+$B21)^DCF!H$12+DCF!I$11/(1+$B21)^DCF!I$12+DCF!J$11/(1+$B21)^DCF!J$12+DCF!K$11/(1+$B21)^DCF!K$12+DCF!L$11/(1+$B21)^DCF!L$12+D$16*DCF!$C$19/(1+$B21)^DCF!$L$12+DCF!$C$28)/DCF!$C$30</f>
        <v/>
      </c>
      <c r="E21" s="49">
        <f>(DCF!C$11/(1+$B21)^DCF!C$12+DCF!D$11/(1+$B21)^DCF!D$12+DCF!E$11/(1+$B21)^DCF!E$12+DCF!F$11/(1+$B21)^DCF!F$12+DCF!G$11/(1+$B21)^DCF!G$12+DCF!H$11/(1+$B21)^DCF!H$12+DCF!I$11/(1+$B21)^DCF!I$12+DCF!J$11/(1+$B21)^DCF!J$12+DCF!K$11/(1+$B21)^DCF!K$12+DCF!L$11/(1+$B21)^DCF!L$12+E$16*DCF!$C$19/(1+$B21)^DCF!$L$12+DCF!$C$28)/DCF!$C$30</f>
        <v/>
      </c>
      <c r="F21" s="49">
        <f>(DCF!C$11/(1+$B21)^DCF!C$12+DCF!D$11/(1+$B21)^DCF!D$12+DCF!E$11/(1+$B21)^DCF!E$12+DCF!F$11/(1+$B21)^DCF!F$12+DCF!G$11/(1+$B21)^DCF!G$12+DCF!H$11/(1+$B21)^DCF!H$12+DCF!I$11/(1+$B21)^DCF!I$12+DCF!J$11/(1+$B21)^DCF!J$12+DCF!K$11/(1+$B21)^DCF!K$12+DCF!L$11/(1+$B21)^DCF!L$12+F$16*DCF!$C$19/(1+$B21)^DCF!$L$12+DCF!$C$28)/DCF!$C$30</f>
        <v/>
      </c>
      <c r="G21" s="49">
        <f>(DCF!C$11/(1+$B21)^DCF!C$12+DCF!D$11/(1+$B21)^DCF!D$12+DCF!E$11/(1+$B21)^DCF!E$12+DCF!F$11/(1+$B21)^DCF!F$12+DCF!G$11/(1+$B21)^DCF!G$12+DCF!H$11/(1+$B21)^DCF!H$12+DCF!I$11/(1+$B21)^DCF!I$12+DCF!J$11/(1+$B21)^DCF!J$12+DCF!K$11/(1+$B21)^DCF!K$12+DCF!L$11/(1+$B21)^DCF!L$12+G$16*DCF!$C$19/(1+$B21)^DCF!$L$12+DCF!$C$28)/DCF!$C$30</f>
        <v/>
      </c>
      <c r="H21" s="49">
        <f>(DCF!C$11/(1+$B21)^DCF!C$12+DCF!D$11/(1+$B21)^DCF!D$12+DCF!E$11/(1+$B21)^DCF!E$12+DCF!F$11/(1+$B21)^DCF!F$12+DCF!G$11/(1+$B21)^DCF!G$12+DCF!H$11/(1+$B21)^DCF!H$12+DCF!I$11/(1+$B21)^DCF!I$12+DCF!J$11/(1+$B21)^DCF!J$12+DCF!K$11/(1+$B21)^DCF!K$12+DCF!L$11/(1+$B21)^DCF!L$12+H$16*DCF!$C$19/(1+$B21)^DCF!$L$12+DCF!$C$28)/DCF!$C$30</f>
        <v/>
      </c>
      <c r="I21" s="49">
        <f>(DCF!C$11/(1+$B21)^DCF!C$12+DCF!D$11/(1+$B21)^DCF!D$12+DCF!E$11/(1+$B21)^DCF!E$12+DCF!F$11/(1+$B21)^DCF!F$12+DCF!G$11/(1+$B21)^DCF!G$12+DCF!H$11/(1+$B21)^DCF!H$12+DCF!I$11/(1+$B21)^DCF!I$12+DCF!J$11/(1+$B21)^DCF!J$12+DCF!K$11/(1+$B21)^DCF!K$12+DCF!L$11/(1+$B21)^DCF!L$12+I$16*DCF!$C$19/(1+$B21)^DCF!$L$12+DCF!$C$28)/DCF!$C$30</f>
        <v/>
      </c>
      <c r="J21" s="49">
        <f>(DCF!C$11/(1+$B21)^DCF!C$12+DCF!D$11/(1+$B21)^DCF!D$12+DCF!E$11/(1+$B21)^DCF!E$12+DCF!F$11/(1+$B21)^DCF!F$12+DCF!G$11/(1+$B21)^DCF!G$12+DCF!H$11/(1+$B21)^DCF!H$12+DCF!I$11/(1+$B21)^DCF!I$12+DCF!J$11/(1+$B21)^DCF!J$12+DCF!K$11/(1+$B21)^DCF!K$12+DCF!L$11/(1+$B21)^DCF!L$12+J$16*DCF!$C$19/(1+$B21)^DCF!$L$12+DCF!$C$28)/DCF!$C$30</f>
        <v/>
      </c>
    </row>
    <row r="22">
      <c r="B22" s="48">
        <f>DCF!$C$8+(2)*Assumptions!$C$35</f>
        <v/>
      </c>
      <c r="C22" s="49">
        <f>(DCF!C$11/(1+$B22)^DCF!C$12+DCF!D$11/(1+$B22)^DCF!D$12+DCF!E$11/(1+$B22)^DCF!E$12+DCF!F$11/(1+$B22)^DCF!F$12+DCF!G$11/(1+$B22)^DCF!G$12+DCF!H$11/(1+$B22)^DCF!H$12+DCF!I$11/(1+$B22)^DCF!I$12+DCF!J$11/(1+$B22)^DCF!J$12+DCF!K$11/(1+$B22)^DCF!K$12+DCF!L$11/(1+$B22)^DCF!L$12+C$16*DCF!$C$19/(1+$B22)^DCF!$L$12+DCF!$C$28)/DCF!$C$30</f>
        <v/>
      </c>
      <c r="D22" s="49">
        <f>(DCF!C$11/(1+$B22)^DCF!C$12+DCF!D$11/(1+$B22)^DCF!D$12+DCF!E$11/(1+$B22)^DCF!E$12+DCF!F$11/(1+$B22)^DCF!F$12+DCF!G$11/(1+$B22)^DCF!G$12+DCF!H$11/(1+$B22)^DCF!H$12+DCF!I$11/(1+$B22)^DCF!I$12+DCF!J$11/(1+$B22)^DCF!J$12+DCF!K$11/(1+$B22)^DCF!K$12+DCF!L$11/(1+$B22)^DCF!L$12+D$16*DCF!$C$19/(1+$B22)^DCF!$L$12+DCF!$C$28)/DCF!$C$30</f>
        <v/>
      </c>
      <c r="E22" s="49">
        <f>(DCF!C$11/(1+$B22)^DCF!C$12+DCF!D$11/(1+$B22)^DCF!D$12+DCF!E$11/(1+$B22)^DCF!E$12+DCF!F$11/(1+$B22)^DCF!F$12+DCF!G$11/(1+$B22)^DCF!G$12+DCF!H$11/(1+$B22)^DCF!H$12+DCF!I$11/(1+$B22)^DCF!I$12+DCF!J$11/(1+$B22)^DCF!J$12+DCF!K$11/(1+$B22)^DCF!K$12+DCF!L$11/(1+$B22)^DCF!L$12+E$16*DCF!$C$19/(1+$B22)^DCF!$L$12+DCF!$C$28)/DCF!$C$30</f>
        <v/>
      </c>
      <c r="F22" s="49">
        <f>(DCF!C$11/(1+$B22)^DCF!C$12+DCF!D$11/(1+$B22)^DCF!D$12+DCF!E$11/(1+$B22)^DCF!E$12+DCF!F$11/(1+$B22)^DCF!F$12+DCF!G$11/(1+$B22)^DCF!G$12+DCF!H$11/(1+$B22)^DCF!H$12+DCF!I$11/(1+$B22)^DCF!I$12+DCF!J$11/(1+$B22)^DCF!J$12+DCF!K$11/(1+$B22)^DCF!K$12+DCF!L$11/(1+$B22)^DCF!L$12+F$16*DCF!$C$19/(1+$B22)^DCF!$L$12+DCF!$C$28)/DCF!$C$30</f>
        <v/>
      </c>
      <c r="G22" s="49">
        <f>(DCF!C$11/(1+$B22)^DCF!C$12+DCF!D$11/(1+$B22)^DCF!D$12+DCF!E$11/(1+$B22)^DCF!E$12+DCF!F$11/(1+$B22)^DCF!F$12+DCF!G$11/(1+$B22)^DCF!G$12+DCF!H$11/(1+$B22)^DCF!H$12+DCF!I$11/(1+$B22)^DCF!I$12+DCF!J$11/(1+$B22)^DCF!J$12+DCF!K$11/(1+$B22)^DCF!K$12+DCF!L$11/(1+$B22)^DCF!L$12+G$16*DCF!$C$19/(1+$B22)^DCF!$L$12+DCF!$C$28)/DCF!$C$30</f>
        <v/>
      </c>
      <c r="H22" s="49">
        <f>(DCF!C$11/(1+$B22)^DCF!C$12+DCF!D$11/(1+$B22)^DCF!D$12+DCF!E$11/(1+$B22)^DCF!E$12+DCF!F$11/(1+$B22)^DCF!F$12+DCF!G$11/(1+$B22)^DCF!G$12+DCF!H$11/(1+$B22)^DCF!H$12+DCF!I$11/(1+$B22)^DCF!I$12+DCF!J$11/(1+$B22)^DCF!J$12+DCF!K$11/(1+$B22)^DCF!K$12+DCF!L$11/(1+$B22)^DCF!L$12+H$16*DCF!$C$19/(1+$B22)^DCF!$L$12+DCF!$C$28)/DCF!$C$30</f>
        <v/>
      </c>
      <c r="I22" s="49">
        <f>(DCF!C$11/(1+$B22)^DCF!C$12+DCF!D$11/(1+$B22)^DCF!D$12+DCF!E$11/(1+$B22)^DCF!E$12+DCF!F$11/(1+$B22)^DCF!F$12+DCF!G$11/(1+$B22)^DCF!G$12+DCF!H$11/(1+$B22)^DCF!H$12+DCF!I$11/(1+$B22)^DCF!I$12+DCF!J$11/(1+$B22)^DCF!J$12+DCF!K$11/(1+$B22)^DCF!K$12+DCF!L$11/(1+$B22)^DCF!L$12+I$16*DCF!$C$19/(1+$B22)^DCF!$L$12+DCF!$C$28)/DCF!$C$30</f>
        <v/>
      </c>
      <c r="J22" s="49">
        <f>(DCF!C$11/(1+$B22)^DCF!C$12+DCF!D$11/(1+$B22)^DCF!D$12+DCF!E$11/(1+$B22)^DCF!E$12+DCF!F$11/(1+$B22)^DCF!F$12+DCF!G$11/(1+$B22)^DCF!G$12+DCF!H$11/(1+$B22)^DCF!H$12+DCF!I$11/(1+$B22)^DCF!I$12+DCF!J$11/(1+$B22)^DCF!J$12+DCF!K$11/(1+$B22)^DCF!K$12+DCF!L$11/(1+$B22)^DCF!L$12+J$16*DCF!$C$19/(1+$B22)^DCF!$L$12+DCF!$C$28)/DCF!$C$30</f>
        <v/>
      </c>
    </row>
    <row r="23">
      <c r="B23" s="48">
        <f>DCF!$C$8+(3)*Assumptions!$C$35</f>
        <v/>
      </c>
      <c r="C23" s="49">
        <f>(DCF!C$11/(1+$B23)^DCF!C$12+DCF!D$11/(1+$B23)^DCF!D$12+DCF!E$11/(1+$B23)^DCF!E$12+DCF!F$11/(1+$B23)^DCF!F$12+DCF!G$11/(1+$B23)^DCF!G$12+DCF!H$11/(1+$B23)^DCF!H$12+DCF!I$11/(1+$B23)^DCF!I$12+DCF!J$11/(1+$B23)^DCF!J$12+DCF!K$11/(1+$B23)^DCF!K$12+DCF!L$11/(1+$B23)^DCF!L$12+C$16*DCF!$C$19/(1+$B23)^DCF!$L$12+DCF!$C$28)/DCF!$C$30</f>
        <v/>
      </c>
      <c r="D23" s="49">
        <f>(DCF!C$11/(1+$B23)^DCF!C$12+DCF!D$11/(1+$B23)^DCF!D$12+DCF!E$11/(1+$B23)^DCF!E$12+DCF!F$11/(1+$B23)^DCF!F$12+DCF!G$11/(1+$B23)^DCF!G$12+DCF!H$11/(1+$B23)^DCF!H$12+DCF!I$11/(1+$B23)^DCF!I$12+DCF!J$11/(1+$B23)^DCF!J$12+DCF!K$11/(1+$B23)^DCF!K$12+DCF!L$11/(1+$B23)^DCF!L$12+D$16*DCF!$C$19/(1+$B23)^DCF!$L$12+DCF!$C$28)/DCF!$C$30</f>
        <v/>
      </c>
      <c r="E23" s="49">
        <f>(DCF!C$11/(1+$B23)^DCF!C$12+DCF!D$11/(1+$B23)^DCF!D$12+DCF!E$11/(1+$B23)^DCF!E$12+DCF!F$11/(1+$B23)^DCF!F$12+DCF!G$11/(1+$B23)^DCF!G$12+DCF!H$11/(1+$B23)^DCF!H$12+DCF!I$11/(1+$B23)^DCF!I$12+DCF!J$11/(1+$B23)^DCF!J$12+DCF!K$11/(1+$B23)^DCF!K$12+DCF!L$11/(1+$B23)^DCF!L$12+E$16*DCF!$C$19/(1+$B23)^DCF!$L$12+DCF!$C$28)/DCF!$C$30</f>
        <v/>
      </c>
      <c r="F23" s="49">
        <f>(DCF!C$11/(1+$B23)^DCF!C$12+DCF!D$11/(1+$B23)^DCF!D$12+DCF!E$11/(1+$B23)^DCF!E$12+DCF!F$11/(1+$B23)^DCF!F$12+DCF!G$11/(1+$B23)^DCF!G$12+DCF!H$11/(1+$B23)^DCF!H$12+DCF!I$11/(1+$B23)^DCF!I$12+DCF!J$11/(1+$B23)^DCF!J$12+DCF!K$11/(1+$B23)^DCF!K$12+DCF!L$11/(1+$B23)^DCF!L$12+F$16*DCF!$C$19/(1+$B23)^DCF!$L$12+DCF!$C$28)/DCF!$C$30</f>
        <v/>
      </c>
      <c r="G23" s="49">
        <f>(DCF!C$11/(1+$B23)^DCF!C$12+DCF!D$11/(1+$B23)^DCF!D$12+DCF!E$11/(1+$B23)^DCF!E$12+DCF!F$11/(1+$B23)^DCF!F$12+DCF!G$11/(1+$B23)^DCF!G$12+DCF!H$11/(1+$B23)^DCF!H$12+DCF!I$11/(1+$B23)^DCF!I$12+DCF!J$11/(1+$B23)^DCF!J$12+DCF!K$11/(1+$B23)^DCF!K$12+DCF!L$11/(1+$B23)^DCF!L$12+G$16*DCF!$C$19/(1+$B23)^DCF!$L$12+DCF!$C$28)/DCF!$C$30</f>
        <v/>
      </c>
      <c r="H23" s="49">
        <f>(DCF!C$11/(1+$B23)^DCF!C$12+DCF!D$11/(1+$B23)^DCF!D$12+DCF!E$11/(1+$B23)^DCF!E$12+DCF!F$11/(1+$B23)^DCF!F$12+DCF!G$11/(1+$B23)^DCF!G$12+DCF!H$11/(1+$B23)^DCF!H$12+DCF!I$11/(1+$B23)^DCF!I$12+DCF!J$11/(1+$B23)^DCF!J$12+DCF!K$11/(1+$B23)^DCF!K$12+DCF!L$11/(1+$B23)^DCF!L$12+H$16*DCF!$C$19/(1+$B23)^DCF!$L$12+DCF!$C$28)/DCF!$C$30</f>
        <v/>
      </c>
      <c r="I23" s="49">
        <f>(DCF!C$11/(1+$B23)^DCF!C$12+DCF!D$11/(1+$B23)^DCF!D$12+DCF!E$11/(1+$B23)^DCF!E$12+DCF!F$11/(1+$B23)^DCF!F$12+DCF!G$11/(1+$B23)^DCF!G$12+DCF!H$11/(1+$B23)^DCF!H$12+DCF!I$11/(1+$B23)^DCF!I$12+DCF!J$11/(1+$B23)^DCF!J$12+DCF!K$11/(1+$B23)^DCF!K$12+DCF!L$11/(1+$B23)^DCF!L$12+I$16*DCF!$C$19/(1+$B23)^DCF!$L$12+DCF!$C$28)/DCF!$C$30</f>
        <v/>
      </c>
      <c r="J23" s="49">
        <f>(DCF!C$11/(1+$B23)^DCF!C$12+DCF!D$11/(1+$B23)^DCF!D$12+DCF!E$11/(1+$B23)^DCF!E$12+DCF!F$11/(1+$B23)^DCF!F$12+DCF!G$11/(1+$B23)^DCF!G$12+DCF!H$11/(1+$B23)^DCF!H$12+DCF!I$11/(1+$B23)^DCF!I$12+DCF!J$11/(1+$B23)^DCF!J$12+DCF!K$11/(1+$B23)^DCF!K$12+DCF!L$11/(1+$B23)^DCF!L$12+J$16*DCF!$C$19/(1+$B23)^DCF!$L$12+DCF!$C$28)/DCF!$C$30</f>
        <v/>
      </c>
    </row>
    <row r="24">
      <c r="B24" s="48">
        <f>DCF!$C$8+(4)*Assumptions!$C$35</f>
        <v/>
      </c>
      <c r="C24" s="49">
        <f>(DCF!C$11/(1+$B24)^DCF!C$12+DCF!D$11/(1+$B24)^DCF!D$12+DCF!E$11/(1+$B24)^DCF!E$12+DCF!F$11/(1+$B24)^DCF!F$12+DCF!G$11/(1+$B24)^DCF!G$12+DCF!H$11/(1+$B24)^DCF!H$12+DCF!I$11/(1+$B24)^DCF!I$12+DCF!J$11/(1+$B24)^DCF!J$12+DCF!K$11/(1+$B24)^DCF!K$12+DCF!L$11/(1+$B24)^DCF!L$12+C$16*DCF!$C$19/(1+$B24)^DCF!$L$12+DCF!$C$28)/DCF!$C$30</f>
        <v/>
      </c>
      <c r="D24" s="49">
        <f>(DCF!C$11/(1+$B24)^DCF!C$12+DCF!D$11/(1+$B24)^DCF!D$12+DCF!E$11/(1+$B24)^DCF!E$12+DCF!F$11/(1+$B24)^DCF!F$12+DCF!G$11/(1+$B24)^DCF!G$12+DCF!H$11/(1+$B24)^DCF!H$12+DCF!I$11/(1+$B24)^DCF!I$12+DCF!J$11/(1+$B24)^DCF!J$12+DCF!K$11/(1+$B24)^DCF!K$12+DCF!L$11/(1+$B24)^DCF!L$12+D$16*DCF!$C$19/(1+$B24)^DCF!$L$12+DCF!$C$28)/DCF!$C$30</f>
        <v/>
      </c>
      <c r="E24" s="49">
        <f>(DCF!C$11/(1+$B24)^DCF!C$12+DCF!D$11/(1+$B24)^DCF!D$12+DCF!E$11/(1+$B24)^DCF!E$12+DCF!F$11/(1+$B24)^DCF!F$12+DCF!G$11/(1+$B24)^DCF!G$12+DCF!H$11/(1+$B24)^DCF!H$12+DCF!I$11/(1+$B24)^DCF!I$12+DCF!J$11/(1+$B24)^DCF!J$12+DCF!K$11/(1+$B24)^DCF!K$12+DCF!L$11/(1+$B24)^DCF!L$12+E$16*DCF!$C$19/(1+$B24)^DCF!$L$12+DCF!$C$28)/DCF!$C$30</f>
        <v/>
      </c>
      <c r="F24" s="49">
        <f>(DCF!C$11/(1+$B24)^DCF!C$12+DCF!D$11/(1+$B24)^DCF!D$12+DCF!E$11/(1+$B24)^DCF!E$12+DCF!F$11/(1+$B24)^DCF!F$12+DCF!G$11/(1+$B24)^DCF!G$12+DCF!H$11/(1+$B24)^DCF!H$12+DCF!I$11/(1+$B24)^DCF!I$12+DCF!J$11/(1+$B24)^DCF!J$12+DCF!K$11/(1+$B24)^DCF!K$12+DCF!L$11/(1+$B24)^DCF!L$12+F$16*DCF!$C$19/(1+$B24)^DCF!$L$12+DCF!$C$28)/DCF!$C$30</f>
        <v/>
      </c>
      <c r="G24" s="49">
        <f>(DCF!C$11/(1+$B24)^DCF!C$12+DCF!D$11/(1+$B24)^DCF!D$12+DCF!E$11/(1+$B24)^DCF!E$12+DCF!F$11/(1+$B24)^DCF!F$12+DCF!G$11/(1+$B24)^DCF!G$12+DCF!H$11/(1+$B24)^DCF!H$12+DCF!I$11/(1+$B24)^DCF!I$12+DCF!J$11/(1+$B24)^DCF!J$12+DCF!K$11/(1+$B24)^DCF!K$12+DCF!L$11/(1+$B24)^DCF!L$12+G$16*DCF!$C$19/(1+$B24)^DCF!$L$12+DCF!$C$28)/DCF!$C$30</f>
        <v/>
      </c>
      <c r="H24" s="49">
        <f>(DCF!C$11/(1+$B24)^DCF!C$12+DCF!D$11/(1+$B24)^DCF!D$12+DCF!E$11/(1+$B24)^DCF!E$12+DCF!F$11/(1+$B24)^DCF!F$12+DCF!G$11/(1+$B24)^DCF!G$12+DCF!H$11/(1+$B24)^DCF!H$12+DCF!I$11/(1+$B24)^DCF!I$12+DCF!J$11/(1+$B24)^DCF!J$12+DCF!K$11/(1+$B24)^DCF!K$12+DCF!L$11/(1+$B24)^DCF!L$12+H$16*DCF!$C$19/(1+$B24)^DCF!$L$12+DCF!$C$28)/DCF!$C$30</f>
        <v/>
      </c>
      <c r="I24" s="49">
        <f>(DCF!C$11/(1+$B24)^DCF!C$12+DCF!D$11/(1+$B24)^DCF!D$12+DCF!E$11/(1+$B24)^DCF!E$12+DCF!F$11/(1+$B24)^DCF!F$12+DCF!G$11/(1+$B24)^DCF!G$12+DCF!H$11/(1+$B24)^DCF!H$12+DCF!I$11/(1+$B24)^DCF!I$12+DCF!J$11/(1+$B24)^DCF!J$12+DCF!K$11/(1+$B24)^DCF!K$12+DCF!L$11/(1+$B24)^DCF!L$12+I$16*DCF!$C$19/(1+$B24)^DCF!$L$12+DCF!$C$28)/DCF!$C$30</f>
        <v/>
      </c>
      <c r="J24" s="49">
        <f>(DCF!C$11/(1+$B24)^DCF!C$12+DCF!D$11/(1+$B24)^DCF!D$12+DCF!E$11/(1+$B24)^DCF!E$12+DCF!F$11/(1+$B24)^DCF!F$12+DCF!G$11/(1+$B24)^DCF!G$12+DCF!H$11/(1+$B24)^DCF!H$12+DCF!I$11/(1+$B24)^DCF!I$12+DCF!J$11/(1+$B24)^DCF!J$12+DCF!K$11/(1+$B24)^DCF!K$12+DCF!L$11/(1+$B24)^DCF!L$12+J$16*DCF!$C$19/(1+$B24)^DCF!$L$12+DCF!$C$28)/DCF!$C$30</f>
        <v/>
      </c>
    </row>
    <row r="25">
      <c r="B25" s="24" t="inlineStr">
        <is>
          <t>Terminal revenue varies only the terminal value; interim FCFs stay on the base path.</t>
        </is>
      </c>
    </row>
    <row r="27">
      <c r="B27" s="8" t="inlineStr">
        <is>
          <t>SCENARIO SUMMARY  (full re-projection in engine below)</t>
        </is>
      </c>
    </row>
    <row r="28">
      <c r="B28" s="3" t="inlineStr">
        <is>
          <t>Scenario</t>
        </is>
      </c>
      <c r="C28" s="3" t="inlineStr">
        <is>
          <t>WACC</t>
        </is>
      </c>
      <c r="D28" s="3" t="inlineStr">
        <is>
          <t>2035E Revenue</t>
        </is>
      </c>
      <c r="E28" s="3" t="inlineStr">
        <is>
          <t>EV/Rev</t>
        </is>
      </c>
      <c r="F28" s="3" t="inlineStr">
        <is>
          <t>Sum PV FCFs</t>
        </is>
      </c>
      <c r="G28" s="3" t="inlineStr">
        <is>
          <t>PV Terminal</t>
        </is>
      </c>
      <c r="H28" s="3" t="inlineStr">
        <is>
          <t>Equity Value</t>
        </is>
      </c>
      <c r="I28" s="3" t="inlineStr">
        <is>
          <t>Value / Share</t>
        </is>
      </c>
      <c r="J28" s="3" t="inlineStr">
        <is>
          <t>Upside</t>
        </is>
      </c>
      <c r="K28" s="3" t="inlineStr">
        <is>
          <t>Probability</t>
        </is>
      </c>
    </row>
    <row r="29">
      <c r="B29" s="12" t="inlineStr">
        <is>
          <t>Bull</t>
        </is>
      </c>
      <c r="C29" s="52">
        <f>M55</f>
        <v/>
      </c>
      <c r="D29" s="53">
        <f>L48</f>
        <v/>
      </c>
      <c r="E29" s="54">
        <f>M56</f>
        <v/>
      </c>
      <c r="F29" s="55">
        <f>C54</f>
        <v/>
      </c>
      <c r="G29" s="55">
        <f>C55</f>
        <v/>
      </c>
      <c r="H29" s="55">
        <f>C56</f>
        <v/>
      </c>
      <c r="I29" s="49">
        <f>C57</f>
        <v/>
      </c>
      <c r="J29" s="52">
        <f>C57/Assumptions!$C$25-1</f>
        <v/>
      </c>
      <c r="K29" s="52">
        <f>Assumptions!C45</f>
        <v/>
      </c>
    </row>
    <row r="30">
      <c r="B30" s="4" t="inlineStr">
        <is>
          <t>Base ★</t>
        </is>
      </c>
      <c r="C30" s="48">
        <f>M66</f>
        <v/>
      </c>
      <c r="D30" s="56">
        <f>L59</f>
        <v/>
      </c>
      <c r="E30" s="57">
        <f>M67</f>
        <v/>
      </c>
      <c r="F30" s="58">
        <f>C65</f>
        <v/>
      </c>
      <c r="G30" s="58">
        <f>C66</f>
        <v/>
      </c>
      <c r="H30" s="58">
        <f>C67</f>
        <v/>
      </c>
      <c r="I30" s="59">
        <f>C68</f>
        <v/>
      </c>
      <c r="J30" s="48">
        <f>C68/Assumptions!$C$25-1</f>
        <v/>
      </c>
      <c r="K30" s="48">
        <f>Assumptions!D45</f>
        <v/>
      </c>
    </row>
    <row r="31">
      <c r="B31" s="12" t="inlineStr">
        <is>
          <t>Bear</t>
        </is>
      </c>
      <c r="C31" s="52">
        <f>M77</f>
        <v/>
      </c>
      <c r="D31" s="53">
        <f>L70</f>
        <v/>
      </c>
      <c r="E31" s="54">
        <f>M78</f>
        <v/>
      </c>
      <c r="F31" s="55">
        <f>C76</f>
        <v/>
      </c>
      <c r="G31" s="55">
        <f>C77</f>
        <v/>
      </c>
      <c r="H31" s="55">
        <f>C78</f>
        <v/>
      </c>
      <c r="I31" s="49">
        <f>C79</f>
        <v/>
      </c>
      <c r="J31" s="52">
        <f>C79/Assumptions!$C$25-1</f>
        <v/>
      </c>
      <c r="K31" s="52">
        <f>Assumptions!E45</f>
        <v/>
      </c>
    </row>
    <row r="33">
      <c r="B33" s="12" t="inlineStr">
        <is>
          <t>Check: Base value − DCF!C31 (must be 0)</t>
        </is>
      </c>
      <c r="C33" s="60">
        <f>ROUND(C68-DCF!C31,6)</f>
        <v/>
      </c>
    </row>
    <row r="40">
      <c r="B40" s="4" t="inlineStr">
        <is>
          <t>★ Probability-Weighted Value per Share</t>
        </is>
      </c>
      <c r="C40" s="43">
        <f>SUMPRODUCT(I29:I31,K29:K31)/SUM(K29:K31)</f>
        <v/>
      </c>
    </row>
    <row r="41">
      <c r="B41" s="12" t="inlineStr">
        <is>
          <t>Price Target (rounded) → DCF!C37</t>
        </is>
      </c>
      <c r="C41" s="44">
        <f>DCF!C37</f>
        <v/>
      </c>
    </row>
    <row r="46">
      <c r="B46" s="8" t="inlineStr">
        <is>
          <t>SCENARIO ENGINE  (supporting calculations)</t>
        </is>
      </c>
    </row>
    <row r="47">
      <c r="B47" s="32" t="inlineStr"/>
      <c r="C47" s="3" t="inlineStr">
        <is>
          <t>2026E</t>
        </is>
      </c>
      <c r="D47" s="3" t="inlineStr">
        <is>
          <t>2027E</t>
        </is>
      </c>
      <c r="E47" s="3" t="inlineStr">
        <is>
          <t>2028E</t>
        </is>
      </c>
      <c r="F47" s="3" t="inlineStr">
        <is>
          <t>2029E</t>
        </is>
      </c>
      <c r="G47" s="3" t="inlineStr">
        <is>
          <t>2030E</t>
        </is>
      </c>
      <c r="H47" s="3" t="inlineStr">
        <is>
          <t>2031E</t>
        </is>
      </c>
      <c r="I47" s="3" t="inlineStr">
        <is>
          <t>2032E</t>
        </is>
      </c>
      <c r="J47" s="3" t="inlineStr">
        <is>
          <t>2033E</t>
        </is>
      </c>
      <c r="K47" s="3" t="inlineStr">
        <is>
          <t>2034E</t>
        </is>
      </c>
      <c r="L47" s="3" t="inlineStr">
        <is>
          <t>2035E</t>
        </is>
      </c>
      <c r="M47" s="3" t="inlineStr">
        <is>
          <t>WACC / Mult</t>
        </is>
      </c>
    </row>
    <row r="48">
      <c r="B48" s="4" t="inlineStr">
        <is>
          <t>Bull · Revenue</t>
        </is>
      </c>
      <c r="C48" s="34">
        <f>Assumptions!C$5*Assumptions!$C$42</f>
        <v/>
      </c>
      <c r="D48" s="34">
        <f>Assumptions!D$5*Assumptions!$C$42</f>
        <v/>
      </c>
      <c r="E48" s="34">
        <f>Assumptions!E$5*Assumptions!$C$42</f>
        <v/>
      </c>
      <c r="F48" s="34">
        <f>Assumptions!F$5*Assumptions!$C$42</f>
        <v/>
      </c>
      <c r="G48" s="34">
        <f>Assumptions!G$5*Assumptions!$C$42</f>
        <v/>
      </c>
      <c r="H48" s="34">
        <f>Assumptions!H$5*Assumptions!$C$42</f>
        <v/>
      </c>
      <c r="I48" s="34">
        <f>Assumptions!I$5*Assumptions!$C$42</f>
        <v/>
      </c>
      <c r="J48" s="34">
        <f>Assumptions!J$5*Assumptions!$C$42</f>
        <v/>
      </c>
      <c r="K48" s="34">
        <f>Assumptions!K$5*Assumptions!$C$42</f>
        <v/>
      </c>
      <c r="L48" s="34">
        <f>Assumptions!L$5*Assumptions!$C$42</f>
        <v/>
      </c>
    </row>
    <row r="49">
      <c r="B49" s="12" t="inlineStr">
        <is>
          <t xml:space="preserve">   Gross profit</t>
        </is>
      </c>
      <c r="C49" s="34">
        <f>C48*Assumptions!C$6</f>
        <v/>
      </c>
      <c r="D49" s="34">
        <f>D48*Assumptions!D$6</f>
        <v/>
      </c>
      <c r="E49" s="34">
        <f>E48*Assumptions!E$6</f>
        <v/>
      </c>
      <c r="F49" s="34">
        <f>F48*Assumptions!F$6</f>
        <v/>
      </c>
      <c r="G49" s="34">
        <f>G48*Assumptions!G$6</f>
        <v/>
      </c>
      <c r="H49" s="34">
        <f>H48*Assumptions!H$6</f>
        <v/>
      </c>
      <c r="I49" s="34">
        <f>I48*Assumptions!I$6</f>
        <v/>
      </c>
      <c r="J49" s="34">
        <f>J48*Assumptions!J$6</f>
        <v/>
      </c>
      <c r="K49" s="34">
        <f>K48*Assumptions!K$6</f>
        <v/>
      </c>
      <c r="L49" s="34">
        <f>L48*Assumptions!L$6</f>
        <v/>
      </c>
    </row>
    <row r="50">
      <c r="B50" s="12" t="inlineStr">
        <is>
          <t xml:space="preserve">   EBIT</t>
        </is>
      </c>
      <c r="C50" s="34">
        <f>C49-Assumptions!C$7-Assumptions!C$8-Assumptions!C$9</f>
        <v/>
      </c>
      <c r="D50" s="34">
        <f>D49-Assumptions!D$7-Assumptions!D$8-Assumptions!D$9</f>
        <v/>
      </c>
      <c r="E50" s="34">
        <f>E49-Assumptions!E$7-Assumptions!E$8-Assumptions!E$9</f>
        <v/>
      </c>
      <c r="F50" s="34">
        <f>F49-Assumptions!F$7-Assumptions!F$8-Assumptions!F$9</f>
        <v/>
      </c>
      <c r="G50" s="34">
        <f>G49-Assumptions!G$7-Assumptions!G$8-Assumptions!G$9</f>
        <v/>
      </c>
      <c r="H50" s="34">
        <f>H49-Assumptions!H$7-Assumptions!H$8-Assumptions!H$9</f>
        <v/>
      </c>
      <c r="I50" s="34">
        <f>I49-Assumptions!I$7-Assumptions!I$8-Assumptions!I$9</f>
        <v/>
      </c>
      <c r="J50" s="34">
        <f>J49-Assumptions!J$7-Assumptions!J$8-Assumptions!J$9</f>
        <v/>
      </c>
      <c r="K50" s="34">
        <f>K49-Assumptions!K$7-Assumptions!K$8-Assumptions!K$9</f>
        <v/>
      </c>
      <c r="L50" s="34">
        <f>L49-Assumptions!L$7-Assumptions!L$8-Assumptions!L$9</f>
        <v/>
      </c>
    </row>
    <row r="51">
      <c r="B51" s="12" t="inlineStr">
        <is>
          <t xml:space="preserve">   NOPAT</t>
        </is>
      </c>
      <c r="C51" s="34">
        <f>C50-MAX(0,C50)*Assumptions!$C$14</f>
        <v/>
      </c>
      <c r="D51" s="34">
        <f>D50-MAX(0,D50)*Assumptions!$C$14</f>
        <v/>
      </c>
      <c r="E51" s="34">
        <f>E50-MAX(0,E50)*Assumptions!$C$14</f>
        <v/>
      </c>
      <c r="F51" s="34">
        <f>F50-MAX(0,F50)*Assumptions!$C$14</f>
        <v/>
      </c>
      <c r="G51" s="34">
        <f>G50-MAX(0,G50)*Assumptions!$C$14</f>
        <v/>
      </c>
      <c r="H51" s="34">
        <f>H50-MAX(0,H50)*Assumptions!$C$14</f>
        <v/>
      </c>
      <c r="I51" s="34">
        <f>I50-MAX(0,I50)*Assumptions!$C$14</f>
        <v/>
      </c>
      <c r="J51" s="34">
        <f>J50-MAX(0,J50)*Assumptions!$C$14</f>
        <v/>
      </c>
      <c r="K51" s="34">
        <f>K50-MAX(0,K50)*Assumptions!$C$14</f>
        <v/>
      </c>
      <c r="L51" s="34">
        <f>L50-MAX(0,L50)*Assumptions!$C$14</f>
        <v/>
      </c>
    </row>
    <row r="52">
      <c r="B52" s="12" t="inlineStr">
        <is>
          <t xml:space="preserve">   Δ NWC</t>
        </is>
      </c>
      <c r="C52" s="34">
        <f>-(C48-Assumptions!$C$29*Assumptions!$C$42)*Assumptions!C$11</f>
        <v/>
      </c>
      <c r="D52" s="34">
        <f>-(D48-C48)*Assumptions!D$11</f>
        <v/>
      </c>
      <c r="E52" s="34">
        <f>-(E48-D48)*Assumptions!E$11</f>
        <v/>
      </c>
      <c r="F52" s="34">
        <f>-(F48-E48)*Assumptions!F$11</f>
        <v/>
      </c>
      <c r="G52" s="34">
        <f>-(G48-F48)*Assumptions!G$11</f>
        <v/>
      </c>
      <c r="H52" s="34">
        <f>-(H48-G48)*Assumptions!H$11</f>
        <v/>
      </c>
      <c r="I52" s="34">
        <f>-(I48-H48)*Assumptions!I$11</f>
        <v/>
      </c>
      <c r="J52" s="34">
        <f>-(J48-I48)*Assumptions!J$11</f>
        <v/>
      </c>
      <c r="K52" s="34">
        <f>-(K48-J48)*Assumptions!K$11</f>
        <v/>
      </c>
      <c r="L52" s="34">
        <f>-(L48-K48)*Assumptions!L$11</f>
        <v/>
      </c>
    </row>
    <row r="53">
      <c r="B53" s="12" t="inlineStr">
        <is>
          <t xml:space="preserve">   Unlevered FCF</t>
        </is>
      </c>
      <c r="C53" s="36">
        <f>C51+Assumptions!C$9-Assumptions!C$10+C52</f>
        <v/>
      </c>
      <c r="D53" s="36">
        <f>D51+Assumptions!D$9-Assumptions!D$10+D52</f>
        <v/>
      </c>
      <c r="E53" s="36">
        <f>E51+Assumptions!E$9-Assumptions!E$10+E52</f>
        <v/>
      </c>
      <c r="F53" s="36">
        <f>F51+Assumptions!F$9-Assumptions!F$10+F52</f>
        <v/>
      </c>
      <c r="G53" s="36">
        <f>G51+Assumptions!G$9-Assumptions!G$10+G52</f>
        <v/>
      </c>
      <c r="H53" s="36">
        <f>H51+Assumptions!H$9-Assumptions!H$10+H52</f>
        <v/>
      </c>
      <c r="I53" s="36">
        <f>I51+Assumptions!I$9-Assumptions!I$10+I52</f>
        <v/>
      </c>
      <c r="J53" s="36">
        <f>J51+Assumptions!J$9-Assumptions!J$10+J52</f>
        <v/>
      </c>
      <c r="K53" s="36">
        <f>K51+Assumptions!K$9-Assumptions!K$10+K52</f>
        <v/>
      </c>
      <c r="L53" s="36">
        <f>L51+Assumptions!L$9-Assumptions!L$10+L52</f>
        <v/>
      </c>
    </row>
    <row r="54">
      <c r="B54" s="12" t="inlineStr">
        <is>
          <t xml:space="preserve">   Sum of PV FCFs (col C)</t>
        </is>
      </c>
      <c r="C54" s="34">
        <f>C53/(1+$M$55)^DCF!C$12+D53/(1+$M$55)^DCF!D$12+E53/(1+$M$55)^DCF!E$12+F53/(1+$M$55)^DCF!F$12+G53/(1+$M$55)^DCF!G$12+H53/(1+$M$55)^DCF!H$12+I53/(1+$M$55)^DCF!I$12+J53/(1+$M$55)^DCF!J$12+K53/(1+$M$55)^DCF!K$12+L53/(1+$M$55)^DCF!L$12</f>
        <v/>
      </c>
    </row>
    <row r="55">
      <c r="B55" s="12" t="inlineStr">
        <is>
          <t xml:space="preserve">   PV of terminal value (col C)</t>
        </is>
      </c>
      <c r="C55" s="34">
        <f>L48*$M$56/(1+$M$55)^DCF!$L$12</f>
        <v/>
      </c>
      <c r="M55" s="31">
        <f>DCF!$C$8+Assumptions!$C$43</f>
        <v/>
      </c>
    </row>
    <row r="56">
      <c r="B56" s="12" t="inlineStr">
        <is>
          <t xml:space="preserve">   Equity value (col C)</t>
        </is>
      </c>
      <c r="C56" s="34">
        <f>C54+C55+DCF!$C$28</f>
        <v/>
      </c>
      <c r="M56" s="30">
        <f>Assumptions!$C$44</f>
        <v/>
      </c>
    </row>
    <row r="57">
      <c r="B57" s="4" t="inlineStr">
        <is>
          <t xml:space="preserve">   Bull value per share (col C)</t>
        </is>
      </c>
      <c r="C57" s="43">
        <f>C56/DCF!$C$30</f>
        <v/>
      </c>
    </row>
    <row r="59">
      <c r="B59" s="4" t="inlineStr">
        <is>
          <t>Base · Revenue</t>
        </is>
      </c>
      <c r="C59" s="34">
        <f>Assumptions!C$5*Assumptions!$D$42</f>
        <v/>
      </c>
      <c r="D59" s="34">
        <f>Assumptions!D$5*Assumptions!$D$42</f>
        <v/>
      </c>
      <c r="E59" s="34">
        <f>Assumptions!E$5*Assumptions!$D$42</f>
        <v/>
      </c>
      <c r="F59" s="34">
        <f>Assumptions!F$5*Assumptions!$D$42</f>
        <v/>
      </c>
      <c r="G59" s="34">
        <f>Assumptions!G$5*Assumptions!$D$42</f>
        <v/>
      </c>
      <c r="H59" s="34">
        <f>Assumptions!H$5*Assumptions!$D$42</f>
        <v/>
      </c>
      <c r="I59" s="34">
        <f>Assumptions!I$5*Assumptions!$D$42</f>
        <v/>
      </c>
      <c r="J59" s="34">
        <f>Assumptions!J$5*Assumptions!$D$42</f>
        <v/>
      </c>
      <c r="K59" s="34">
        <f>Assumptions!K$5*Assumptions!$D$42</f>
        <v/>
      </c>
      <c r="L59" s="34">
        <f>Assumptions!L$5*Assumptions!$D$42</f>
        <v/>
      </c>
    </row>
    <row r="60">
      <c r="B60" s="12" t="inlineStr">
        <is>
          <t xml:space="preserve">   Gross profit</t>
        </is>
      </c>
      <c r="C60" s="34">
        <f>C59*Assumptions!C$6</f>
        <v/>
      </c>
      <c r="D60" s="34">
        <f>D59*Assumptions!D$6</f>
        <v/>
      </c>
      <c r="E60" s="34">
        <f>E59*Assumptions!E$6</f>
        <v/>
      </c>
      <c r="F60" s="34">
        <f>F59*Assumptions!F$6</f>
        <v/>
      </c>
      <c r="G60" s="34">
        <f>G59*Assumptions!G$6</f>
        <v/>
      </c>
      <c r="H60" s="34">
        <f>H59*Assumptions!H$6</f>
        <v/>
      </c>
      <c r="I60" s="34">
        <f>I59*Assumptions!I$6</f>
        <v/>
      </c>
      <c r="J60" s="34">
        <f>J59*Assumptions!J$6</f>
        <v/>
      </c>
      <c r="K60" s="34">
        <f>K59*Assumptions!K$6</f>
        <v/>
      </c>
      <c r="L60" s="34">
        <f>L59*Assumptions!L$6</f>
        <v/>
      </c>
    </row>
    <row r="61">
      <c r="B61" s="12" t="inlineStr">
        <is>
          <t xml:space="preserve">   EBIT</t>
        </is>
      </c>
      <c r="C61" s="34">
        <f>C60-Assumptions!C$7-Assumptions!C$8-Assumptions!C$9</f>
        <v/>
      </c>
      <c r="D61" s="34">
        <f>D60-Assumptions!D$7-Assumptions!D$8-Assumptions!D$9</f>
        <v/>
      </c>
      <c r="E61" s="34">
        <f>E60-Assumptions!E$7-Assumptions!E$8-Assumptions!E$9</f>
        <v/>
      </c>
      <c r="F61" s="34">
        <f>F60-Assumptions!F$7-Assumptions!F$8-Assumptions!F$9</f>
        <v/>
      </c>
      <c r="G61" s="34">
        <f>G60-Assumptions!G$7-Assumptions!G$8-Assumptions!G$9</f>
        <v/>
      </c>
      <c r="H61" s="34">
        <f>H60-Assumptions!H$7-Assumptions!H$8-Assumptions!H$9</f>
        <v/>
      </c>
      <c r="I61" s="34">
        <f>I60-Assumptions!I$7-Assumptions!I$8-Assumptions!I$9</f>
        <v/>
      </c>
      <c r="J61" s="34">
        <f>J60-Assumptions!J$7-Assumptions!J$8-Assumptions!J$9</f>
        <v/>
      </c>
      <c r="K61" s="34">
        <f>K60-Assumptions!K$7-Assumptions!K$8-Assumptions!K$9</f>
        <v/>
      </c>
      <c r="L61" s="34">
        <f>L60-Assumptions!L$7-Assumptions!L$8-Assumptions!L$9</f>
        <v/>
      </c>
    </row>
    <row r="62">
      <c r="B62" s="12" t="inlineStr">
        <is>
          <t xml:space="preserve">   NOPAT</t>
        </is>
      </c>
      <c r="C62" s="34">
        <f>C61-MAX(0,C61)*Assumptions!$C$14</f>
        <v/>
      </c>
      <c r="D62" s="34">
        <f>D61-MAX(0,D61)*Assumptions!$C$14</f>
        <v/>
      </c>
      <c r="E62" s="34">
        <f>E61-MAX(0,E61)*Assumptions!$C$14</f>
        <v/>
      </c>
      <c r="F62" s="34">
        <f>F61-MAX(0,F61)*Assumptions!$C$14</f>
        <v/>
      </c>
      <c r="G62" s="34">
        <f>G61-MAX(0,G61)*Assumptions!$C$14</f>
        <v/>
      </c>
      <c r="H62" s="34">
        <f>H61-MAX(0,H61)*Assumptions!$C$14</f>
        <v/>
      </c>
      <c r="I62" s="34">
        <f>I61-MAX(0,I61)*Assumptions!$C$14</f>
        <v/>
      </c>
      <c r="J62" s="34">
        <f>J61-MAX(0,J61)*Assumptions!$C$14</f>
        <v/>
      </c>
      <c r="K62" s="34">
        <f>K61-MAX(0,K61)*Assumptions!$C$14</f>
        <v/>
      </c>
      <c r="L62" s="34">
        <f>L61-MAX(0,L61)*Assumptions!$C$14</f>
        <v/>
      </c>
    </row>
    <row r="63">
      <c r="B63" s="12" t="inlineStr">
        <is>
          <t xml:space="preserve">   Δ NWC</t>
        </is>
      </c>
      <c r="C63" s="34">
        <f>-(C59-Assumptions!$C$29*Assumptions!$D$42)*Assumptions!C$11</f>
        <v/>
      </c>
      <c r="D63" s="34">
        <f>-(D59-C59)*Assumptions!D$11</f>
        <v/>
      </c>
      <c r="E63" s="34">
        <f>-(E59-D59)*Assumptions!E$11</f>
        <v/>
      </c>
      <c r="F63" s="34">
        <f>-(F59-E59)*Assumptions!F$11</f>
        <v/>
      </c>
      <c r="G63" s="34">
        <f>-(G59-F59)*Assumptions!G$11</f>
        <v/>
      </c>
      <c r="H63" s="34">
        <f>-(H59-G59)*Assumptions!H$11</f>
        <v/>
      </c>
      <c r="I63" s="34">
        <f>-(I59-H59)*Assumptions!I$11</f>
        <v/>
      </c>
      <c r="J63" s="34">
        <f>-(J59-I59)*Assumptions!J$11</f>
        <v/>
      </c>
      <c r="K63" s="34">
        <f>-(K59-J59)*Assumptions!K$11</f>
        <v/>
      </c>
      <c r="L63" s="34">
        <f>-(L59-K59)*Assumptions!L$11</f>
        <v/>
      </c>
    </row>
    <row r="64">
      <c r="B64" s="12" t="inlineStr">
        <is>
          <t xml:space="preserve">   Unlevered FCF</t>
        </is>
      </c>
      <c r="C64" s="36">
        <f>C62+Assumptions!C$9-Assumptions!C$10+C63</f>
        <v/>
      </c>
      <c r="D64" s="36">
        <f>D62+Assumptions!D$9-Assumptions!D$10+D63</f>
        <v/>
      </c>
      <c r="E64" s="36">
        <f>E62+Assumptions!E$9-Assumptions!E$10+E63</f>
        <v/>
      </c>
      <c r="F64" s="36">
        <f>F62+Assumptions!F$9-Assumptions!F$10+F63</f>
        <v/>
      </c>
      <c r="G64" s="36">
        <f>G62+Assumptions!G$9-Assumptions!G$10+G63</f>
        <v/>
      </c>
      <c r="H64" s="36">
        <f>H62+Assumptions!H$9-Assumptions!H$10+H63</f>
        <v/>
      </c>
      <c r="I64" s="36">
        <f>I62+Assumptions!I$9-Assumptions!I$10+I63</f>
        <v/>
      </c>
      <c r="J64" s="36">
        <f>J62+Assumptions!J$9-Assumptions!J$10+J63</f>
        <v/>
      </c>
      <c r="K64" s="36">
        <f>K62+Assumptions!K$9-Assumptions!K$10+K63</f>
        <v/>
      </c>
      <c r="L64" s="36">
        <f>L62+Assumptions!L$9-Assumptions!L$10+L63</f>
        <v/>
      </c>
    </row>
    <row r="65">
      <c r="B65" s="12" t="inlineStr">
        <is>
          <t xml:space="preserve">   Sum of PV FCFs (col C)</t>
        </is>
      </c>
      <c r="C65" s="34">
        <f>C64/(1+$M$66)^DCF!C$12+D64/(1+$M$66)^DCF!D$12+E64/(1+$M$66)^DCF!E$12+F64/(1+$M$66)^DCF!F$12+G64/(1+$M$66)^DCF!G$12+H64/(1+$M$66)^DCF!H$12+I64/(1+$M$66)^DCF!I$12+J64/(1+$M$66)^DCF!J$12+K64/(1+$M$66)^DCF!K$12+L64/(1+$M$66)^DCF!L$12</f>
        <v/>
      </c>
    </row>
    <row r="66">
      <c r="B66" s="12" t="inlineStr">
        <is>
          <t xml:space="preserve">   PV of terminal value (col C)</t>
        </is>
      </c>
      <c r="C66" s="34">
        <f>L59*$M$67/(1+$M$66)^DCF!$L$12</f>
        <v/>
      </c>
      <c r="M66" s="31">
        <f>DCF!$C$8+Assumptions!$D$43</f>
        <v/>
      </c>
    </row>
    <row r="67">
      <c r="B67" s="12" t="inlineStr">
        <is>
          <t xml:space="preserve">   Equity value (col C)</t>
        </is>
      </c>
      <c r="C67" s="34">
        <f>C65+C66+DCF!$C$28</f>
        <v/>
      </c>
      <c r="M67" s="30">
        <f>Assumptions!$D$44</f>
        <v/>
      </c>
    </row>
    <row r="68">
      <c r="B68" s="4" t="inlineStr">
        <is>
          <t xml:space="preserve">   Base value per share (col C)</t>
        </is>
      </c>
      <c r="C68" s="43">
        <f>C67/DCF!$C$30</f>
        <v/>
      </c>
    </row>
    <row r="70">
      <c r="B70" s="4" t="inlineStr">
        <is>
          <t>Bear · Revenue</t>
        </is>
      </c>
      <c r="C70" s="34">
        <f>Assumptions!C$5*Assumptions!$E$42</f>
        <v/>
      </c>
      <c r="D70" s="34">
        <f>Assumptions!D$5*Assumptions!$E$42</f>
        <v/>
      </c>
      <c r="E70" s="34">
        <f>Assumptions!E$5*Assumptions!$E$42</f>
        <v/>
      </c>
      <c r="F70" s="34">
        <f>Assumptions!F$5*Assumptions!$E$42</f>
        <v/>
      </c>
      <c r="G70" s="34">
        <f>Assumptions!G$5*Assumptions!$E$42</f>
        <v/>
      </c>
      <c r="H70" s="34">
        <f>Assumptions!H$5*Assumptions!$E$42</f>
        <v/>
      </c>
      <c r="I70" s="34">
        <f>Assumptions!I$5*Assumptions!$E$42</f>
        <v/>
      </c>
      <c r="J70" s="34">
        <f>Assumptions!J$5*Assumptions!$E$42</f>
        <v/>
      </c>
      <c r="K70" s="34">
        <f>Assumptions!K$5*Assumptions!$E$42</f>
        <v/>
      </c>
      <c r="L70" s="34">
        <f>Assumptions!L$5*Assumptions!$E$42</f>
        <v/>
      </c>
    </row>
    <row r="71">
      <c r="B71" s="12" t="inlineStr">
        <is>
          <t xml:space="preserve">   Gross profit</t>
        </is>
      </c>
      <c r="C71" s="34">
        <f>C70*Assumptions!C$6</f>
        <v/>
      </c>
      <c r="D71" s="34">
        <f>D70*Assumptions!D$6</f>
        <v/>
      </c>
      <c r="E71" s="34">
        <f>E70*Assumptions!E$6</f>
        <v/>
      </c>
      <c r="F71" s="34">
        <f>F70*Assumptions!F$6</f>
        <v/>
      </c>
      <c r="G71" s="34">
        <f>G70*Assumptions!G$6</f>
        <v/>
      </c>
      <c r="H71" s="34">
        <f>H70*Assumptions!H$6</f>
        <v/>
      </c>
      <c r="I71" s="34">
        <f>I70*Assumptions!I$6</f>
        <v/>
      </c>
      <c r="J71" s="34">
        <f>J70*Assumptions!J$6</f>
        <v/>
      </c>
      <c r="K71" s="34">
        <f>K70*Assumptions!K$6</f>
        <v/>
      </c>
      <c r="L71" s="34">
        <f>L70*Assumptions!L$6</f>
        <v/>
      </c>
    </row>
    <row r="72">
      <c r="B72" s="12" t="inlineStr">
        <is>
          <t xml:space="preserve">   EBIT</t>
        </is>
      </c>
      <c r="C72" s="34">
        <f>C71-Assumptions!C$7-Assumptions!C$8-Assumptions!C$9</f>
        <v/>
      </c>
      <c r="D72" s="34">
        <f>D71-Assumptions!D$7-Assumptions!D$8-Assumptions!D$9</f>
        <v/>
      </c>
      <c r="E72" s="34">
        <f>E71-Assumptions!E$7-Assumptions!E$8-Assumptions!E$9</f>
        <v/>
      </c>
      <c r="F72" s="34">
        <f>F71-Assumptions!F$7-Assumptions!F$8-Assumptions!F$9</f>
        <v/>
      </c>
      <c r="G72" s="34">
        <f>G71-Assumptions!G$7-Assumptions!G$8-Assumptions!G$9</f>
        <v/>
      </c>
      <c r="H72" s="34">
        <f>H71-Assumptions!H$7-Assumptions!H$8-Assumptions!H$9</f>
        <v/>
      </c>
      <c r="I72" s="34">
        <f>I71-Assumptions!I$7-Assumptions!I$8-Assumptions!I$9</f>
        <v/>
      </c>
      <c r="J72" s="34">
        <f>J71-Assumptions!J$7-Assumptions!J$8-Assumptions!J$9</f>
        <v/>
      </c>
      <c r="K72" s="34">
        <f>K71-Assumptions!K$7-Assumptions!K$8-Assumptions!K$9</f>
        <v/>
      </c>
      <c r="L72" s="34">
        <f>L71-Assumptions!L$7-Assumptions!L$8-Assumptions!L$9</f>
        <v/>
      </c>
    </row>
    <row r="73">
      <c r="B73" s="12" t="inlineStr">
        <is>
          <t xml:space="preserve">   NOPAT</t>
        </is>
      </c>
      <c r="C73" s="34">
        <f>C72-MAX(0,C72)*Assumptions!$C$14</f>
        <v/>
      </c>
      <c r="D73" s="34">
        <f>D72-MAX(0,D72)*Assumptions!$C$14</f>
        <v/>
      </c>
      <c r="E73" s="34">
        <f>E72-MAX(0,E72)*Assumptions!$C$14</f>
        <v/>
      </c>
      <c r="F73" s="34">
        <f>F72-MAX(0,F72)*Assumptions!$C$14</f>
        <v/>
      </c>
      <c r="G73" s="34">
        <f>G72-MAX(0,G72)*Assumptions!$C$14</f>
        <v/>
      </c>
      <c r="H73" s="34">
        <f>H72-MAX(0,H72)*Assumptions!$C$14</f>
        <v/>
      </c>
      <c r="I73" s="34">
        <f>I72-MAX(0,I72)*Assumptions!$C$14</f>
        <v/>
      </c>
      <c r="J73" s="34">
        <f>J72-MAX(0,J72)*Assumptions!$C$14</f>
        <v/>
      </c>
      <c r="K73" s="34">
        <f>K72-MAX(0,K72)*Assumptions!$C$14</f>
        <v/>
      </c>
      <c r="L73" s="34">
        <f>L72-MAX(0,L72)*Assumptions!$C$14</f>
        <v/>
      </c>
    </row>
    <row r="74">
      <c r="B74" s="12" t="inlineStr">
        <is>
          <t xml:space="preserve">   Δ NWC</t>
        </is>
      </c>
      <c r="C74" s="34">
        <f>-(C70-Assumptions!$C$29*Assumptions!$E$42)*Assumptions!C$11</f>
        <v/>
      </c>
      <c r="D74" s="34">
        <f>-(D70-C70)*Assumptions!D$11</f>
        <v/>
      </c>
      <c r="E74" s="34">
        <f>-(E70-D70)*Assumptions!E$11</f>
        <v/>
      </c>
      <c r="F74" s="34">
        <f>-(F70-E70)*Assumptions!F$11</f>
        <v/>
      </c>
      <c r="G74" s="34">
        <f>-(G70-F70)*Assumptions!G$11</f>
        <v/>
      </c>
      <c r="H74" s="34">
        <f>-(H70-G70)*Assumptions!H$11</f>
        <v/>
      </c>
      <c r="I74" s="34">
        <f>-(I70-H70)*Assumptions!I$11</f>
        <v/>
      </c>
      <c r="J74" s="34">
        <f>-(J70-I70)*Assumptions!J$11</f>
        <v/>
      </c>
      <c r="K74" s="34">
        <f>-(K70-J70)*Assumptions!K$11</f>
        <v/>
      </c>
      <c r="L74" s="34">
        <f>-(L70-K70)*Assumptions!L$11</f>
        <v/>
      </c>
    </row>
    <row r="75">
      <c r="B75" s="12" t="inlineStr">
        <is>
          <t xml:space="preserve">   Unlevered FCF</t>
        </is>
      </c>
      <c r="C75" s="36">
        <f>C73+Assumptions!C$9-Assumptions!C$10+C74</f>
        <v/>
      </c>
      <c r="D75" s="36">
        <f>D73+Assumptions!D$9-Assumptions!D$10+D74</f>
        <v/>
      </c>
      <c r="E75" s="36">
        <f>E73+Assumptions!E$9-Assumptions!E$10+E74</f>
        <v/>
      </c>
      <c r="F75" s="36">
        <f>F73+Assumptions!F$9-Assumptions!F$10+F74</f>
        <v/>
      </c>
      <c r="G75" s="36">
        <f>G73+Assumptions!G$9-Assumptions!G$10+G74</f>
        <v/>
      </c>
      <c r="H75" s="36">
        <f>H73+Assumptions!H$9-Assumptions!H$10+H74</f>
        <v/>
      </c>
      <c r="I75" s="36">
        <f>I73+Assumptions!I$9-Assumptions!I$10+I74</f>
        <v/>
      </c>
      <c r="J75" s="36">
        <f>J73+Assumptions!J$9-Assumptions!J$10+J74</f>
        <v/>
      </c>
      <c r="K75" s="36">
        <f>K73+Assumptions!K$9-Assumptions!K$10+K74</f>
        <v/>
      </c>
      <c r="L75" s="36">
        <f>L73+Assumptions!L$9-Assumptions!L$10+L74</f>
        <v/>
      </c>
    </row>
    <row r="76">
      <c r="B76" s="12" t="inlineStr">
        <is>
          <t xml:space="preserve">   Sum of PV FCFs (col C)</t>
        </is>
      </c>
      <c r="C76" s="34">
        <f>C75/(1+$M$77)^DCF!C$12+D75/(1+$M$77)^DCF!D$12+E75/(1+$M$77)^DCF!E$12+F75/(1+$M$77)^DCF!F$12+G75/(1+$M$77)^DCF!G$12+H75/(1+$M$77)^DCF!H$12+I75/(1+$M$77)^DCF!I$12+J75/(1+$M$77)^DCF!J$12+K75/(1+$M$77)^DCF!K$12+L75/(1+$M$77)^DCF!L$12</f>
        <v/>
      </c>
    </row>
    <row r="77">
      <c r="B77" s="12" t="inlineStr">
        <is>
          <t xml:space="preserve">   PV of terminal value (col C)</t>
        </is>
      </c>
      <c r="C77" s="34">
        <f>L70*$M$78/(1+$M$77)^DCF!$L$12</f>
        <v/>
      </c>
      <c r="M77" s="31">
        <f>DCF!$C$8+Assumptions!$E$43</f>
        <v/>
      </c>
    </row>
    <row r="78">
      <c r="B78" s="12" t="inlineStr">
        <is>
          <t xml:space="preserve">   Equity value (col C)</t>
        </is>
      </c>
      <c r="C78" s="34">
        <f>C76+C77+DCF!$C$28</f>
        <v/>
      </c>
      <c r="M78" s="30">
        <f>Assumptions!$E$44</f>
        <v/>
      </c>
    </row>
    <row r="79">
      <c r="B79" s="4" t="inlineStr">
        <is>
          <t xml:space="preserve">   Bear value per share (col C)</t>
        </is>
      </c>
      <c r="C79" s="43">
        <f>C78/DCF!$C$30</f>
        <v/>
      </c>
    </row>
    <row r="81" ht="12" customHeight="1">
      <c r="B81" s="20" t="inlineStr">
        <is>
          <t>Francisco Rodriguez  |  Financial Modeling Portfolio  |  github.com/Azyo1</t>
        </is>
      </c>
    </row>
  </sheetData>
  <mergeCells count="6">
    <mergeCell ref="B15:J15"/>
    <mergeCell ref="B3:J3"/>
    <mergeCell ref="B46:M46"/>
    <mergeCell ref="B81:L81"/>
    <mergeCell ref="B27:J27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2026-10-15T12:16:18Z</dcterms:created>
  <dcterms:modified xsi:type="dcterms:W3CDTF">2026-10-15T12:16:18Z</dcterms:modified>
</cp:coreProperties>
</file>