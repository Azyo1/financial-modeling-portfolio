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Operating Model" sheetId="3" state="visible" r:id="rId3"/>
    <sheet name="DCF" sheetId="4" state="visible" r:id="rId4"/>
    <sheet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&quot;$&quot;#,##0.00"/>
    <numFmt numFmtId="166" formatCode="yyyy-mm-dd"/>
    <numFmt numFmtId="167" formatCode="mmm d, yyyy"/>
    <numFmt numFmtId="168" formatCode="&quot;$&quot;#,##0"/>
    <numFmt numFmtId="169" formatCode="0.0000"/>
    <numFmt numFmtId="170" formatCode="0.0&quot;x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1F1F1F"/>
      <sz val="9"/>
    </font>
    <font>
      <name val="Calibri"/>
      <color rgb="001F3864"/>
      <sz val="9"/>
    </font>
    <font>
      <name val="Calibri"/>
      <b val="1"/>
      <color rgb="001F1F1F"/>
      <sz val="9"/>
    </font>
    <font>
      <name val="Calibri"/>
      <i val="1"/>
      <color rgb="001F1F1F"/>
      <sz val="9"/>
    </font>
    <font>
      <name val="Calibri"/>
      <i val="1"/>
      <color rgb="00595959"/>
      <sz val="8"/>
    </font>
    <font>
      <name val="Calibri"/>
      <i val="1"/>
      <color rgb="00595959"/>
      <sz val="7"/>
    </font>
    <font>
      <name val="Calibri"/>
      <b val="1"/>
      <color rgb="001F3864"/>
      <sz val="9"/>
    </font>
    <font>
      <name val="Calibri"/>
      <i val="1"/>
      <color rgb="001F1F1F"/>
      <sz val="8"/>
    </font>
    <font>
      <name val="Calibri"/>
      <b val="1"/>
      <color rgb="001F1F1F"/>
      <sz val="8"/>
    </font>
    <font>
      <name val="Calibri"/>
      <color rgb="001F1F1F"/>
      <sz val="8"/>
    </font>
    <font>
      <name val="Calibri"/>
      <b val="1"/>
      <color rgb="001F3864"/>
      <sz val="20"/>
    </font>
    <font>
      <name val="Calibri"/>
      <i val="1"/>
      <color rgb="00595959"/>
      <sz val="10"/>
    </font>
    <font>
      <name val="Calibri"/>
      <color rgb="00595959"/>
      <sz val="9"/>
    </font>
    <font>
      <name val="Calibri"/>
      <b val="1"/>
      <color rgb="001F3864"/>
      <sz val="8"/>
    </font>
    <font>
      <name val="Calibri"/>
      <b val="1"/>
      <color rgb="00C00000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7375E"/>
      </patternFill>
    </fill>
    <fill>
      <patternFill patternType="solid">
        <fgColor rgb="00DBE5F1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EBF1DE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13" fillId="9" borderId="0" pivotButton="0" quotePrefix="0" xfId="0"/>
    <xf numFmtId="0" fontId="17" fillId="9" borderId="0" applyAlignment="1" pivotButton="0" quotePrefix="0" xfId="0">
      <alignment horizontal="right" vertical="center"/>
    </xf>
    <xf numFmtId="0" fontId="0" fillId="9" borderId="0" pivotButton="0" quotePrefix="0" xfId="0"/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top" wrapText="1"/>
    </xf>
    <xf numFmtId="0" fontId="17" fillId="9" borderId="0" applyAlignment="1" pivotButton="0" quotePrefix="0" xfId="0">
      <alignment horizontal="left" vertical="top" wrapText="1"/>
    </xf>
    <xf numFmtId="0" fontId="13" fillId="9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center"/>
    </xf>
    <xf numFmtId="0" fontId="18" fillId="9" borderId="0" pivotButton="0" quotePrefix="0" xfId="0"/>
    <xf numFmtId="0" fontId="1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right" vertical="center"/>
    </xf>
    <xf numFmtId="3" fontId="5" fillId="5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164" fontId="4" fillId="0" borderId="0" applyAlignment="1" pivotButton="0" quotePrefix="0" xfId="0">
      <alignment horizontal="right" vertical="center"/>
    </xf>
    <xf numFmtId="0" fontId="8" fillId="0" borderId="0" pivotButton="0" quotePrefix="0" xfId="0"/>
    <xf numFmtId="165" fontId="5" fillId="5" borderId="0" applyAlignment="1" pivotButton="0" quotePrefix="0" xfId="0">
      <alignment horizontal="right" vertical="center"/>
    </xf>
    <xf numFmtId="167" fontId="5" fillId="5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0" fontId="5" fillId="5" borderId="0" applyAlignment="1" pivotButton="0" quotePrefix="0" xfId="0">
      <alignment horizontal="right" vertical="center"/>
    </xf>
    <xf numFmtId="2" fontId="5" fillId="5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8" fontId="5" fillId="5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3" fontId="4" fillId="8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right" vertical="center"/>
    </xf>
    <xf numFmtId="3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10" fontId="4" fillId="8" borderId="0" applyAlignment="1" pivotButton="0" quotePrefix="0" xfId="0">
      <alignment horizontal="right" vertical="center"/>
    </xf>
    <xf numFmtId="2" fontId="4" fillId="8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10" fillId="5" borderId="0" applyAlignment="1" pivotButton="0" quotePrefix="0" xfId="0">
      <alignment horizontal="right" vertical="center"/>
    </xf>
    <xf numFmtId="165" fontId="10" fillId="5" borderId="0" applyAlignment="1" pivotButton="0" quotePrefix="0" xfId="0">
      <alignment horizontal="right" vertical="center"/>
    </xf>
    <xf numFmtId="165" fontId="4" fillId="8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8" fontId="10" fillId="5" borderId="0" applyAlignment="1" pivotButton="0" quotePrefix="0" xfId="0">
      <alignment horizontal="right" vertical="center"/>
    </xf>
    <xf numFmtId="164" fontId="10" fillId="5" borderId="0" applyAlignment="1" pivotButton="0" quotePrefix="0" xfId="0">
      <alignment horizontal="right" vertical="center"/>
    </xf>
    <xf numFmtId="49" fontId="10" fillId="5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10" fontId="2" fillId="3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8" fontId="6" fillId="5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165" fontId="10" fillId="5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70" fontId="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40" customHeight="1">
      <c r="B3" s="2" t="inlineStr">
        <is>
          <t>Micron Technology, Inc.  (NASDAQ: MU)</t>
        </is>
      </c>
    </row>
    <row r="4">
      <c r="B4" s="3" t="inlineStr">
        <is>
          <t>Equity Research  |  Initiating Coverage  |  October 2026</t>
        </is>
      </c>
    </row>
    <row r="5">
      <c r="B5" s="4" t="inlineStr">
        <is>
          <t>Semiconductors — Memory (DRAM / HBM / NAND)  |  Francisco Rodriguez</t>
        </is>
      </c>
    </row>
    <row r="6" ht="4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 ht="38" customHeight="1">
      <c r="B7" s="6">
        <f>"RATING"&amp;CHAR(10)&amp;DCF!C41</f>
        <v/>
      </c>
      <c r="D7" s="7">
        <f>"PRICE TARGET"&amp;CHAR(10)&amp;TEXT(DCF!C39,"$#,##0")</f>
        <v/>
      </c>
      <c r="F7" s="8">
        <f>"CURRENT PRICE"&amp;CHAR(10)&amp;TEXT(DCF!C36,"$#,##0.00")</f>
        <v/>
      </c>
      <c r="H7" s="9">
        <f>"UPSIDE"&amp;CHAR(10)&amp;TEXT(DCF!C40,"+0.0%;-0.0%")</f>
        <v/>
      </c>
    </row>
    <row r="9">
      <c r="B9" s="10" t="inlineStr">
        <is>
          <t>KEY STATISTICS</t>
        </is>
      </c>
      <c r="F9" s="10" t="inlineStr">
        <is>
          <t>VALUATION SUMMARY</t>
        </is>
      </c>
    </row>
    <row r="10" ht="13" customHeight="1">
      <c r="B10" s="11" t="inlineStr">
        <is>
          <t>Market Cap</t>
        </is>
      </c>
      <c r="D10" s="12">
        <f>"$"&amp;TEXT(DCF!C36*DCF!C34/1000,"#,##0")&amp;"B"</f>
        <v/>
      </c>
      <c r="E10" s="13" t="n"/>
      <c r="F10" s="11" t="inlineStr">
        <is>
          <t>Base DCF Value</t>
        </is>
      </c>
      <c r="H10" s="12">
        <f>TEXT(DCF!C35,"$#,##0")</f>
        <v/>
      </c>
    </row>
    <row r="11" ht="13" customHeight="1">
      <c r="B11" s="14" t="inlineStr">
        <is>
          <t>Net Cash</t>
        </is>
      </c>
      <c r="D11" s="15">
        <f>"$"&amp;TEXT((DCF!C31-DCF!C32)/1000,"0.0")&amp;"B"</f>
        <v/>
      </c>
      <c r="F11" s="14" t="inlineStr">
        <is>
          <t>Bear / Bull</t>
        </is>
      </c>
      <c r="H11" s="15">
        <f>TEXT(Sensitivity!C55,"$#,##0")&amp;" / "&amp;TEXT(Sensitivity!C83,"$#,##0")</f>
        <v/>
      </c>
    </row>
    <row r="12" ht="13" customHeight="1">
      <c r="B12" s="11" t="inlineStr">
        <is>
          <t>FY2026A Revenue</t>
        </is>
      </c>
      <c r="D12" s="12">
        <f>"$"&amp;TEXT('Operating Model'!D7/1000,"0.0")&amp;"B"</f>
        <v/>
      </c>
      <c r="E12" s="13" t="n"/>
      <c r="F12" s="11" t="inlineStr">
        <is>
          <t>Prob.-Weighted Value</t>
        </is>
      </c>
      <c r="H12" s="12">
        <f>TEXT(Sensitivity!C22,"$#,##0")</f>
        <v/>
      </c>
    </row>
    <row r="13" ht="13" customHeight="1">
      <c r="B13" s="14" t="inlineStr">
        <is>
          <t>FY2027E Revenue</t>
        </is>
      </c>
      <c r="D13" s="15">
        <f>"$"&amp;TEXT('Operating Model'!E7/1000,"0.0")&amp;"B"</f>
        <v/>
      </c>
      <c r="F13" s="14" t="inlineStr">
        <is>
          <t>WACC / g</t>
        </is>
      </c>
      <c r="H13" s="15">
        <f>TEXT(DCF!C14,"0.0%")&amp;" / "&amp;TEXT(DCF!C25,"0.0%")</f>
        <v/>
      </c>
    </row>
    <row r="14" ht="13" customHeight="1">
      <c r="B14" s="11" t="inlineStr">
        <is>
          <t>FY2026A Gross Margin</t>
        </is>
      </c>
      <c r="D14" s="12">
        <f>TEXT('Operating Model'!D11,"0.0%")</f>
        <v/>
      </c>
      <c r="E14" s="13" t="n"/>
      <c r="F14" s="11" t="inlineStr">
        <is>
          <t>Boom Years % of EV</t>
        </is>
      </c>
      <c r="H14" s="12">
        <f>TEXT(DCF!C30,"0%")</f>
        <v/>
      </c>
    </row>
    <row r="15" ht="13" customHeight="1">
      <c r="B15" s="14" t="inlineStr">
        <is>
          <t>P/E on FY2027E</t>
        </is>
      </c>
      <c r="D15" s="15">
        <f>TEXT(Sensitivity!D28,"0.0")&amp;"x"</f>
        <v/>
      </c>
      <c r="F15" s="14" t="inlineStr">
        <is>
          <t>TV % of EV</t>
        </is>
      </c>
      <c r="H15" s="15">
        <f>TEXT(DCF!C29,"0%")</f>
        <v/>
      </c>
    </row>
    <row r="16" ht="13" customHeight="1">
      <c r="B16" s="11" t="inlineStr">
        <is>
          <t>P/E on trough (FY2031E)</t>
        </is>
      </c>
      <c r="D16" s="12">
        <f>TEXT(Sensitivity!D31,"0.0")&amp;"x"</f>
        <v/>
      </c>
      <c r="E16" s="13" t="n"/>
      <c r="F16" s="11" t="inlineStr">
        <is>
          <t>Q1 FY27 Revenue Guide</t>
        </is>
      </c>
      <c r="H16" s="12">
        <f>"$"&amp;TEXT(Assumptions!$C$41/1000,"0.0")&amp;"B"</f>
        <v/>
      </c>
    </row>
    <row r="17" ht="13" customHeight="1">
      <c r="B17" s="14" t="inlineStr">
        <is>
          <t>Through-cycle P/E</t>
        </is>
      </c>
      <c r="D17" s="15">
        <f>TEXT(Sensitivity!D34,"0.0")&amp;"x"</f>
        <v/>
      </c>
      <c r="F17" s="14" t="inlineStr">
        <is>
          <t>Q1 FY27 EPS Guide</t>
        </is>
      </c>
      <c r="H17" s="15">
        <f>TEXT(Assumptions!$C$42,"$0.00")</f>
        <v/>
      </c>
    </row>
    <row r="19">
      <c r="B19" s="16" t="inlineStr">
        <is>
          <t>INVESTMENT THESIS</t>
        </is>
      </c>
    </row>
    <row r="20" ht="64" customHeight="1">
      <c r="B20" s="17">
        <f>"Micron is in the strongest memory upcycle on record: FY2026 revenue of "&amp;TEXT('Operating Model'!D7/1000,"$0")&amp;"B at an "&amp;TEXT('Operating Model'!D11,"0%")&amp;" gross margin, and a Q1 FY27 guide of "&amp;TEXT(Assumptions!$C$41/1000,"$0.0")&amp;"B. The stock already prices the boom — "&amp;TEXT(Sensitivity!D28,"0.0")&amp;"x FY2027E but "&amp;TEXT(Sensitivity!D31,"0.0")&amp;"x our trough EPS. Our cycle DCF yields "&amp;TEXT(DCF!C35,"$#,##0")&amp;" (base) and a "&amp;TEXT(DCF!C39,"$#,##0")&amp;" probability-weighted PT. Rating: "&amp;DCF!C41&amp;"."</f>
        <v/>
      </c>
    </row>
    <row r="21" ht="44" customHeight="1">
      <c r="B21" s="18" t="inlineStr">
        <is>
          <t>1.  AI Made Memory the Bottleneck</t>
        </is>
      </c>
      <c r="D21" s="19" t="inlineStr">
        <is>
          <t>HBM and high-capacity server DRAM are sold out; &gt;75% of FY2027 output is committed and calendar-2027 HBM is priced 'much higher' than 2026. 26 strategic customer agreements cover 35%+ of revenue through 2030.</t>
        </is>
      </c>
    </row>
    <row r="22" ht="44" customHeight="1">
      <c r="B22" s="20" t="inlineStr">
        <is>
          <t>2.  Supply Response Is Coming</t>
        </is>
      </c>
      <c r="D22" s="17" t="inlineStr">
        <is>
          <t>FY2027 capex 'materially higher' than FY2026's $27B (H1 ~$25B); the whole industry is building fabs. We model pricing holding through FY2028E, then ASPs falling ~45% in FY2029E and ~30% in FY2030E.</t>
        </is>
      </c>
    </row>
    <row r="23" ht="44" customHeight="1">
      <c r="B23" s="18" t="inlineStr">
        <is>
          <t>3.  The Boom Is Worth a Lot — But Not Everything</t>
        </is>
      </c>
      <c r="D23" s="19">
        <f>"FY2027E–FY2028E cash flows are "&amp;TEXT(DCF!C30,"0%")&amp;" of our EV. Most of the value still rests on a new mid-cycle: ~50% gross margins on revenue several times pre-AI levels."</f>
        <v/>
      </c>
    </row>
    <row r="24" ht="44" customHeight="1">
      <c r="B24" s="20" t="inlineStr">
        <is>
          <t>4.  What Would Change Our View</t>
        </is>
      </c>
      <c r="D24" s="17" t="inlineStr">
        <is>
          <t>Evidence the shortage lasts beyond FY2028 (Bull case), or that HBM contracts make pricing structurally less cyclical. Conversely, an earlier or deeper bust (Bear) cuts value sharply.</t>
        </is>
      </c>
    </row>
    <row r="26">
      <c r="B26" s="21" t="inlineStr">
        <is>
          <t>KEY RISKS</t>
        </is>
      </c>
    </row>
    <row r="27" ht="13" customHeight="1">
      <c r="B27" s="22" t="inlineStr">
        <is>
          <t>▪  Cycle timing</t>
        </is>
      </c>
      <c r="D27" s="11" t="inlineStr">
        <is>
          <t>Supply catches up faster than FY2029E (Samsung / SK hynix / CXMT capacity), pulling the bust forward</t>
        </is>
      </c>
    </row>
    <row r="28" ht="13" customHeight="1">
      <c r="B28" s="23" t="inlineStr">
        <is>
          <t>▪  Upside: longer shortage</t>
        </is>
      </c>
      <c r="D28" s="14" t="inlineStr">
        <is>
          <t>AI demand absorbs new capacity through FY2029–30; our Bull case</t>
        </is>
      </c>
    </row>
    <row r="29" ht="13" customHeight="1">
      <c r="B29" s="22" t="inlineStr">
        <is>
          <t>▪  HBM competition</t>
        </is>
      </c>
      <c r="D29" s="11" t="inlineStr">
        <is>
          <t>SK hynix leadership and Samsung HBM4 qualification pressure share and pricing</t>
        </is>
      </c>
    </row>
    <row r="30" ht="13" customHeight="1">
      <c r="B30" s="23" t="inlineStr">
        <is>
          <t>▪  Capex discipline</t>
        </is>
      </c>
      <c r="D30" s="14" t="inlineStr">
        <is>
          <t>Capex at 20–25% of revenue through the cycle; overbuilding deepens the downturn</t>
        </is>
      </c>
    </row>
    <row r="32">
      <c r="B32" s="24" t="inlineStr">
        <is>
          <t>Price as of Oct 14, 2026; balance sheet Sept 3, 2026. $M unless noted. Every number on this page is formula-linked — change inputs on the Assumptions tab only.</t>
        </is>
      </c>
    </row>
    <row r="33" ht="4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B34" s="25" t="inlineStr">
        <is>
          <t>Francisco Rodriguez  |  Financial Modeling Portfolio  |  github.com/Azyo1</t>
        </is>
      </c>
    </row>
  </sheetData>
  <mergeCells count="45">
    <mergeCell ref="B9:E9"/>
    <mergeCell ref="F11:G11"/>
    <mergeCell ref="B16:C16"/>
    <mergeCell ref="B7:C7"/>
    <mergeCell ref="F10:G10"/>
    <mergeCell ref="F16:G16"/>
    <mergeCell ref="B3:I3"/>
    <mergeCell ref="B22:C22"/>
    <mergeCell ref="B27:C27"/>
    <mergeCell ref="D22:H22"/>
    <mergeCell ref="F7:G7"/>
    <mergeCell ref="B12:C12"/>
    <mergeCell ref="B21:C21"/>
    <mergeCell ref="F12:G12"/>
    <mergeCell ref="D21:H21"/>
    <mergeCell ref="B26:H26"/>
    <mergeCell ref="B11:C11"/>
    <mergeCell ref="F15:G15"/>
    <mergeCell ref="B23:C23"/>
    <mergeCell ref="D27:H27"/>
    <mergeCell ref="B14:C14"/>
    <mergeCell ref="F9:H9"/>
    <mergeCell ref="B17:C17"/>
    <mergeCell ref="F17:G17"/>
    <mergeCell ref="B13:C13"/>
    <mergeCell ref="D7:E7"/>
    <mergeCell ref="B29:C29"/>
    <mergeCell ref="H7:I7"/>
    <mergeCell ref="B10:C10"/>
    <mergeCell ref="B28:C28"/>
    <mergeCell ref="D28:H28"/>
    <mergeCell ref="F13:G13"/>
    <mergeCell ref="B24:C24"/>
    <mergeCell ref="B30:C30"/>
    <mergeCell ref="D30:H30"/>
    <mergeCell ref="B15:C15"/>
    <mergeCell ref="D24:H24"/>
    <mergeCell ref="B20:I20"/>
    <mergeCell ref="D29:H29"/>
    <mergeCell ref="B5:I5"/>
    <mergeCell ref="D23:H23"/>
    <mergeCell ref="F14:G14"/>
    <mergeCell ref="B19:H19"/>
    <mergeCell ref="B32:I32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4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.5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B2" s="26" t="inlineStr">
        <is>
          <t>Micron — Model Assumptions  (ALL HARDCODED INPUTS = BLUE CELLS)  ·  $M unless noted  ·  FY ends ~Sept 1</t>
        </is>
      </c>
    </row>
    <row r="3">
      <c r="B3" s="27" t="inlineStr">
        <is>
          <t>Metric</t>
        </is>
      </c>
      <c r="C3" s="28" t="inlineStr">
        <is>
          <t>FY2025A</t>
        </is>
      </c>
      <c r="D3" s="28" t="inlineStr">
        <is>
          <t>FY2026A</t>
        </is>
      </c>
      <c r="E3" s="29" t="inlineStr">
        <is>
          <t>FY2027E</t>
        </is>
      </c>
      <c r="F3" s="29" t="inlineStr">
        <is>
          <t>FY2028E</t>
        </is>
      </c>
      <c r="G3" s="29" t="inlineStr">
        <is>
          <t>FY2029E</t>
        </is>
      </c>
      <c r="H3" s="29" t="inlineStr">
        <is>
          <t>FY2030E</t>
        </is>
      </c>
      <c r="I3" s="29" t="inlineStr">
        <is>
          <t>FY2031E</t>
        </is>
      </c>
      <c r="J3" s="29" t="inlineStr">
        <is>
          <t>FY2032E</t>
        </is>
      </c>
      <c r="K3" s="29" t="inlineStr">
        <is>
          <t>FY2033E</t>
        </is>
      </c>
      <c r="L3" s="29" t="inlineStr">
        <is>
          <t>FY2034E</t>
        </is>
      </c>
      <c r="M3" s="29" t="inlineStr">
        <is>
          <t>FY2035E</t>
        </is>
      </c>
      <c r="N3" s="29" t="inlineStr">
        <is>
          <t>FY2036E</t>
        </is>
      </c>
    </row>
    <row r="4">
      <c r="B4" s="21" t="inlineStr">
        <is>
          <t>BIT GROWTH &amp; PRICING  (YoY)</t>
        </is>
      </c>
    </row>
    <row r="5">
      <c r="B5" s="30" t="inlineStr">
        <is>
          <t>DRAM bit shipment growth (incl. HBM)</t>
        </is>
      </c>
      <c r="C5" s="31" t="inlineStr">
        <is>
          <t>—</t>
        </is>
      </c>
      <c r="D5" s="31" t="inlineStr">
        <is>
          <t>—</t>
        </is>
      </c>
      <c r="E5" s="32" t="n">
        <v>0.22</v>
      </c>
      <c r="F5" s="32" t="n">
        <v>0.2</v>
      </c>
      <c r="G5" s="32" t="n">
        <v>0.18</v>
      </c>
      <c r="H5" s="32" t="n">
        <v>0.16</v>
      </c>
      <c r="I5" s="32" t="n">
        <v>0.15</v>
      </c>
      <c r="J5" s="32" t="n">
        <v>0.15</v>
      </c>
      <c r="K5" s="32" t="n">
        <v>0.14</v>
      </c>
      <c r="L5" s="32" t="n">
        <v>0.13</v>
      </c>
      <c r="M5" s="32" t="n">
        <v>0.12</v>
      </c>
      <c r="N5" s="32" t="n">
        <v>0.12</v>
      </c>
    </row>
    <row r="6">
      <c r="B6" s="30" t="inlineStr">
        <is>
          <t>DRAM ASP change</t>
        </is>
      </c>
      <c r="C6" s="31" t="inlineStr">
        <is>
          <t>—</t>
        </is>
      </c>
      <c r="D6" s="31" t="inlineStr">
        <is>
          <t>—</t>
        </is>
      </c>
      <c r="E6" s="32" t="n">
        <v>0.68</v>
      </c>
      <c r="F6" s="32" t="n">
        <v>0.05</v>
      </c>
      <c r="G6" s="32" t="n">
        <v>-0.45</v>
      </c>
      <c r="H6" s="32" t="n">
        <v>-0.3</v>
      </c>
      <c r="I6" s="32" t="n">
        <v>-0.1</v>
      </c>
      <c r="J6" s="32" t="n">
        <v>-0.05</v>
      </c>
      <c r="K6" s="32" t="n">
        <v>-0.06</v>
      </c>
      <c r="L6" s="32" t="n">
        <v>-0.06</v>
      </c>
      <c r="M6" s="32" t="n">
        <v>-0.06</v>
      </c>
      <c r="N6" s="32" t="n">
        <v>-0.07000000000000001</v>
      </c>
    </row>
    <row r="7">
      <c r="B7" s="30" t="inlineStr">
        <is>
          <t>NAND bit shipment growth</t>
        </is>
      </c>
      <c r="C7" s="31" t="inlineStr">
        <is>
          <t>—</t>
        </is>
      </c>
      <c r="D7" s="31" t="inlineStr">
        <is>
          <t>—</t>
        </is>
      </c>
      <c r="E7" s="32" t="n">
        <v>0.25</v>
      </c>
      <c r="F7" s="32" t="n">
        <v>0.25</v>
      </c>
      <c r="G7" s="32" t="n">
        <v>0.22</v>
      </c>
      <c r="H7" s="32" t="n">
        <v>0.2</v>
      </c>
      <c r="I7" s="32" t="n">
        <v>0.18</v>
      </c>
      <c r="J7" s="32" t="n">
        <v>0.18</v>
      </c>
      <c r="K7" s="32" t="n">
        <v>0.17</v>
      </c>
      <c r="L7" s="32" t="n">
        <v>0.16</v>
      </c>
      <c r="M7" s="32" t="n">
        <v>0.15</v>
      </c>
      <c r="N7" s="32" t="n">
        <v>0.15</v>
      </c>
    </row>
    <row r="8">
      <c r="B8" s="30" t="inlineStr">
        <is>
          <t>NAND ASP change</t>
        </is>
      </c>
      <c r="C8" s="31" t="inlineStr">
        <is>
          <t>—</t>
        </is>
      </c>
      <c r="D8" s="31" t="inlineStr">
        <is>
          <t>—</t>
        </is>
      </c>
      <c r="E8" s="32" t="n">
        <v>0.55</v>
      </c>
      <c r="F8" s="32" t="n">
        <v>0</v>
      </c>
      <c r="G8" s="32" t="n">
        <v>-0.45</v>
      </c>
      <c r="H8" s="32" t="n">
        <v>-0.3</v>
      </c>
      <c r="I8" s="32" t="n">
        <v>-0.12</v>
      </c>
      <c r="J8" s="32" t="n">
        <v>-0.08</v>
      </c>
      <c r="K8" s="32" t="n">
        <v>-0.08</v>
      </c>
      <c r="L8" s="32" t="n">
        <v>-0.08</v>
      </c>
      <c r="M8" s="32" t="n">
        <v>-0.08</v>
      </c>
      <c r="N8" s="32" t="n">
        <v>-0.09</v>
      </c>
    </row>
    <row r="9">
      <c r="B9" s="21" t="inlineStr">
        <is>
          <t>REVENUE BUILD ($M)</t>
        </is>
      </c>
    </row>
    <row r="10">
      <c r="B10" s="30" t="inlineStr">
        <is>
          <t>Reported total revenue</t>
        </is>
      </c>
      <c r="C10" s="33" t="n">
        <v>37378</v>
      </c>
      <c r="D10" s="33" t="n">
        <v>133190</v>
      </c>
    </row>
    <row r="11">
      <c r="B11" s="30" t="inlineStr">
        <is>
          <t>DRAM share of FY2026A revenue (est.; Q4 FY26 = 73%)</t>
        </is>
      </c>
      <c r="D11" s="32" t="n">
        <v>0.75</v>
      </c>
    </row>
    <row r="12">
      <c r="B12" s="30" t="inlineStr">
        <is>
          <t>DRAM revenue</t>
        </is>
      </c>
      <c r="D12" s="34">
        <f>D10*D11</f>
        <v/>
      </c>
      <c r="E12" s="34">
        <f>D12*(1+E5)*(1+E6)</f>
        <v/>
      </c>
      <c r="F12" s="34">
        <f>E12*(1+F5)*(1+F6)</f>
        <v/>
      </c>
      <c r="G12" s="34">
        <f>F12*(1+G5)*(1+G6)</f>
        <v/>
      </c>
      <c r="H12" s="34">
        <f>G12*(1+H5)*(1+H6)</f>
        <v/>
      </c>
      <c r="I12" s="34">
        <f>H12*(1+I5)*(1+I6)</f>
        <v/>
      </c>
      <c r="J12" s="34">
        <f>I12*(1+J5)*(1+J6)</f>
        <v/>
      </c>
      <c r="K12" s="34">
        <f>J12*(1+K5)*(1+K6)</f>
        <v/>
      </c>
      <c r="L12" s="34">
        <f>K12*(1+L5)*(1+L6)</f>
        <v/>
      </c>
      <c r="M12" s="34">
        <f>L12*(1+M5)*(1+M6)</f>
        <v/>
      </c>
      <c r="N12" s="34">
        <f>M12*(1+N5)*(1+N6)</f>
        <v/>
      </c>
    </row>
    <row r="13">
      <c r="B13" s="30" t="inlineStr">
        <is>
          <t>NAND revenue</t>
        </is>
      </c>
      <c r="D13" s="34">
        <f>D10*(1-D11)</f>
        <v/>
      </c>
      <c r="E13" s="34">
        <f>D13*(1+E7)*(1+E8)</f>
        <v/>
      </c>
      <c r="F13" s="34">
        <f>E13*(1+F7)*(1+F8)</f>
        <v/>
      </c>
      <c r="G13" s="34">
        <f>F13*(1+G7)*(1+G8)</f>
        <v/>
      </c>
      <c r="H13" s="34">
        <f>G13*(1+H7)*(1+H8)</f>
        <v/>
      </c>
      <c r="I13" s="34">
        <f>H13*(1+I7)*(1+I8)</f>
        <v/>
      </c>
      <c r="J13" s="34">
        <f>I13*(1+J7)*(1+J8)</f>
        <v/>
      </c>
      <c r="K13" s="34">
        <f>J13*(1+K7)*(1+K8)</f>
        <v/>
      </c>
      <c r="L13" s="34">
        <f>K13*(1+L7)*(1+L8)</f>
        <v/>
      </c>
      <c r="M13" s="34">
        <f>L13*(1+M7)*(1+M8)</f>
        <v/>
      </c>
      <c r="N13" s="34">
        <f>M13*(1+N7)*(1+N8)</f>
        <v/>
      </c>
    </row>
    <row r="14">
      <c r="B14" s="35" t="inlineStr">
        <is>
          <t>Total revenue</t>
        </is>
      </c>
      <c r="C14" s="36">
        <f>C10</f>
        <v/>
      </c>
      <c r="D14" s="36">
        <f>D12+D13</f>
        <v/>
      </c>
      <c r="E14" s="36">
        <f>E12+E13</f>
        <v/>
      </c>
      <c r="F14" s="36">
        <f>F12+F13</f>
        <v/>
      </c>
      <c r="G14" s="36">
        <f>G12+G13</f>
        <v/>
      </c>
      <c r="H14" s="36">
        <f>H12+H13</f>
        <v/>
      </c>
      <c r="I14" s="36">
        <f>I12+I13</f>
        <v/>
      </c>
      <c r="J14" s="36">
        <f>J12+J13</f>
        <v/>
      </c>
      <c r="K14" s="36">
        <f>K12+K13</f>
        <v/>
      </c>
      <c r="L14" s="36">
        <f>L12+L13</f>
        <v/>
      </c>
      <c r="M14" s="36">
        <f>M12+M13</f>
        <v/>
      </c>
      <c r="N14" s="36">
        <f>N12+N13</f>
        <v/>
      </c>
    </row>
    <row r="15">
      <c r="B15" s="37" t="inlineStr">
        <is>
          <t xml:space="preserve">  YoY growth</t>
        </is>
      </c>
      <c r="D15" s="38">
        <f>D14/C14-1</f>
        <v/>
      </c>
      <c r="E15" s="38">
        <f>E14/D14-1</f>
        <v/>
      </c>
      <c r="F15" s="38">
        <f>F14/E14-1</f>
        <v/>
      </c>
      <c r="G15" s="38">
        <f>G14/F14-1</f>
        <v/>
      </c>
      <c r="H15" s="38">
        <f>H14/G14-1</f>
        <v/>
      </c>
      <c r="I15" s="38">
        <f>I14/H14-1</f>
        <v/>
      </c>
      <c r="J15" s="38">
        <f>J14/I14-1</f>
        <v/>
      </c>
      <c r="K15" s="38">
        <f>K14/J14-1</f>
        <v/>
      </c>
      <c r="L15" s="38">
        <f>L14/K14-1</f>
        <v/>
      </c>
      <c r="M15" s="38">
        <f>M14/L14-1</f>
        <v/>
      </c>
      <c r="N15" s="38">
        <f>N14/M14-1</f>
        <v/>
      </c>
    </row>
    <row r="16">
      <c r="B16" s="21" t="inlineStr">
        <is>
          <t>MARGINS, OPEX, CAPEX &amp; TAX</t>
        </is>
      </c>
    </row>
    <row r="17">
      <c r="B17" s="30" t="inlineStr">
        <is>
          <t>Gross margin (GAAP, incl. depreciation)</t>
        </is>
      </c>
      <c r="C17" s="32" t="n">
        <v>0.398</v>
      </c>
      <c r="D17" s="32" t="n">
        <v>0.8110000000000001</v>
      </c>
      <c r="E17" s="32" t="n">
        <v>0.86</v>
      </c>
      <c r="F17" s="32" t="n">
        <v>0.82</v>
      </c>
      <c r="G17" s="32" t="n">
        <v>0.6</v>
      </c>
      <c r="H17" s="32" t="n">
        <v>0.48</v>
      </c>
      <c r="I17" s="32" t="n">
        <v>0.45</v>
      </c>
      <c r="J17" s="32" t="n">
        <v>0.48</v>
      </c>
      <c r="K17" s="32" t="n">
        <v>0.5</v>
      </c>
      <c r="L17" s="32" t="n">
        <v>0.5</v>
      </c>
      <c r="M17" s="32" t="n">
        <v>0.5</v>
      </c>
      <c r="N17" s="32" t="n">
        <v>0.5</v>
      </c>
    </row>
    <row r="18">
      <c r="B18" s="30" t="inlineStr">
        <is>
          <t>Operating expenses: R&amp;D + SG&amp;A ($M)</t>
        </is>
      </c>
      <c r="C18" s="31" t="inlineStr">
        <is>
          <t>—</t>
        </is>
      </c>
      <c r="D18" s="33" t="n">
        <v>7600</v>
      </c>
      <c r="E18" s="33" t="n">
        <v>10100</v>
      </c>
      <c r="F18" s="33" t="n">
        <v>11000</v>
      </c>
      <c r="G18" s="33" t="n">
        <v>11000</v>
      </c>
      <c r="H18" s="33" t="n">
        <v>11300</v>
      </c>
      <c r="I18" s="33" t="n">
        <v>11800</v>
      </c>
      <c r="J18" s="33" t="n">
        <v>12400</v>
      </c>
      <c r="K18" s="33" t="n">
        <v>13000</v>
      </c>
      <c r="L18" s="33" t="n">
        <v>13600</v>
      </c>
      <c r="M18" s="33" t="n">
        <v>14200</v>
      </c>
      <c r="N18" s="33" t="n">
        <v>14800</v>
      </c>
    </row>
    <row r="19">
      <c r="B19" s="30" t="inlineStr">
        <is>
          <t>D&amp;A (% of revenue)</t>
        </is>
      </c>
      <c r="C19" s="31" t="inlineStr">
        <is>
          <t>—</t>
        </is>
      </c>
      <c r="D19" s="38">
        <f>C29/D14</f>
        <v/>
      </c>
      <c r="E19" s="32" t="n">
        <v>0.045</v>
      </c>
      <c r="F19" s="32" t="n">
        <v>0.055</v>
      </c>
      <c r="G19" s="32" t="n">
        <v>0.11</v>
      </c>
      <c r="H19" s="32" t="n">
        <v>0.15</v>
      </c>
      <c r="I19" s="32" t="n">
        <v>0.17</v>
      </c>
      <c r="J19" s="32" t="n">
        <v>0.18</v>
      </c>
      <c r="K19" s="32" t="n">
        <v>0.19</v>
      </c>
      <c r="L19" s="32" t="n">
        <v>0.2</v>
      </c>
      <c r="M19" s="32" t="n">
        <v>0.21</v>
      </c>
      <c r="N19" s="32" t="n">
        <v>0.22</v>
      </c>
    </row>
    <row r="20">
      <c r="B20" s="30" t="inlineStr">
        <is>
          <t>Capex, net (% of revenue)</t>
        </is>
      </c>
      <c r="C20" s="31" t="inlineStr">
        <is>
          <t>—</t>
        </is>
      </c>
      <c r="D20" s="38">
        <f>C30/D14</f>
        <v/>
      </c>
      <c r="E20" s="32" t="n">
        <v>0.205</v>
      </c>
      <c r="F20" s="32" t="n">
        <v>0.18</v>
      </c>
      <c r="G20" s="32" t="n">
        <v>0.22</v>
      </c>
      <c r="H20" s="32" t="n">
        <v>0.25</v>
      </c>
      <c r="I20" s="32" t="n">
        <v>0.25</v>
      </c>
      <c r="J20" s="32" t="n">
        <v>0.25</v>
      </c>
      <c r="K20" s="32" t="n">
        <v>0.25</v>
      </c>
      <c r="L20" s="32" t="n">
        <v>0.25</v>
      </c>
      <c r="M20" s="32" t="n">
        <v>0.25</v>
      </c>
      <c r="N20" s="32" t="n">
        <v>0.25</v>
      </c>
    </row>
    <row r="21">
      <c r="B21" s="30" t="inlineStr">
        <is>
          <t>Δ working capital (% of Δ revenue)</t>
        </is>
      </c>
      <c r="C21" s="31" t="inlineStr">
        <is>
          <t>—</t>
        </is>
      </c>
      <c r="D21" s="31" t="inlineStr">
        <is>
          <t>—</t>
        </is>
      </c>
      <c r="E21" s="32" t="n">
        <v>0.1</v>
      </c>
      <c r="F21" s="32" t="n">
        <v>0.1</v>
      </c>
      <c r="G21" s="32" t="n">
        <v>0.1</v>
      </c>
      <c r="H21" s="32" t="n">
        <v>0.1</v>
      </c>
      <c r="I21" s="32" t="n">
        <v>0.1</v>
      </c>
      <c r="J21" s="32" t="n">
        <v>0.1</v>
      </c>
      <c r="K21" s="32" t="n">
        <v>0.1</v>
      </c>
      <c r="L21" s="32" t="n">
        <v>0.1</v>
      </c>
      <c r="M21" s="32" t="n">
        <v>0.1</v>
      </c>
      <c r="N21" s="32" t="n">
        <v>0.1</v>
      </c>
    </row>
    <row r="22">
      <c r="B22" s="30" t="inlineStr">
        <is>
          <t>Cash tax rate</t>
        </is>
      </c>
      <c r="C22" s="31" t="inlineStr">
        <is>
          <t>—</t>
        </is>
      </c>
      <c r="D22" s="31" t="inlineStr">
        <is>
          <t>—</t>
        </is>
      </c>
      <c r="E22" s="32" t="n">
        <v>0.155</v>
      </c>
      <c r="F22" s="32" t="n">
        <v>0.155</v>
      </c>
      <c r="G22" s="32" t="n">
        <v>0.155</v>
      </c>
      <c r="H22" s="32" t="n">
        <v>0.155</v>
      </c>
      <c r="I22" s="32" t="n">
        <v>0.155</v>
      </c>
      <c r="J22" s="32" t="n">
        <v>0.155</v>
      </c>
      <c r="K22" s="32" t="n">
        <v>0.155</v>
      </c>
      <c r="L22" s="32" t="n">
        <v>0.155</v>
      </c>
      <c r="M22" s="32" t="n">
        <v>0.155</v>
      </c>
      <c r="N22" s="32" t="n">
        <v>0.155</v>
      </c>
    </row>
    <row r="24">
      <c r="B24" s="21" t="inlineStr">
        <is>
          <t>FY2026A REPORTED  (calibration — FY ended Sept 3, 2026)</t>
        </is>
      </c>
    </row>
    <row r="25">
      <c r="B25" s="30" t="inlineStr">
        <is>
          <t>GAAP operating income</t>
        </is>
      </c>
      <c r="C25" s="33" t="n">
        <v>99300</v>
      </c>
      <c r="D25" s="39" t="inlineStr">
        <is>
          <t>Sept 30 2026 release</t>
        </is>
      </c>
    </row>
    <row r="26">
      <c r="B26" s="30" t="inlineStr">
        <is>
          <t>GAAP net income</t>
        </is>
      </c>
      <c r="C26" s="33" t="n">
        <v>84970</v>
      </c>
    </row>
    <row r="27">
      <c r="B27" s="30" t="inlineStr">
        <is>
          <t>Non-GAAP diluted EPS ($)</t>
        </is>
      </c>
      <c r="C27" s="40" t="n">
        <v>75.52</v>
      </c>
    </row>
    <row r="28">
      <c r="B28" s="30" t="inlineStr">
        <is>
          <t>Adjusted free cash flow</t>
        </is>
      </c>
      <c r="C28" s="33" t="n">
        <v>62310</v>
      </c>
    </row>
    <row r="29">
      <c r="B29" s="30" t="inlineStr">
        <is>
          <t>Depreciation &amp; amortization</t>
        </is>
      </c>
      <c r="C29" s="33" t="n">
        <v>9500</v>
      </c>
    </row>
    <row r="30">
      <c r="B30" s="30" t="inlineStr">
        <is>
          <t>Net capital expenditures</t>
        </is>
      </c>
      <c r="C30" s="33" t="n">
        <v>27370</v>
      </c>
    </row>
    <row r="31">
      <c r="B31" s="30" t="inlineStr">
        <is>
          <t>Stock-based compensation</t>
        </is>
      </c>
      <c r="C31" s="33" t="n">
        <v>1300</v>
      </c>
    </row>
    <row r="33">
      <c r="B33" s="21" t="inlineStr">
        <is>
          <t>VALUATION DATE, MARKET DATA &amp; BALANCE SHEET</t>
        </is>
      </c>
    </row>
    <row r="34">
      <c r="B34" s="30" t="inlineStr">
        <is>
          <t>Valuation date</t>
        </is>
      </c>
      <c r="C34" s="41" t="n">
        <v>46309</v>
      </c>
      <c r="D34" s="39" t="inlineStr">
        <is>
          <t>Oct 14, 2026 close</t>
        </is>
      </c>
    </row>
    <row r="35">
      <c r="B35" s="30" t="inlineStr">
        <is>
          <t>FY2027 fiscal year end</t>
        </is>
      </c>
      <c r="C35" s="41" t="n">
        <v>46632</v>
      </c>
    </row>
    <row r="36">
      <c r="B36" s="30" t="inlineStr">
        <is>
          <t>Stub — fraction of FY2027E remaining</t>
        </is>
      </c>
      <c r="C36" s="42">
        <f>MAX(0,MIN(1,(C35-C34)/365))</f>
        <v/>
      </c>
      <c r="D36" s="39" t="inlineStr">
        <is>
          <t>Formula</t>
        </is>
      </c>
    </row>
    <row r="37">
      <c r="B37" s="30" t="inlineStr">
        <is>
          <t>Current share price ($)</t>
        </is>
      </c>
      <c r="C37" s="40" t="n">
        <v>914.13</v>
      </c>
      <c r="D37" s="39" t="inlineStr">
        <is>
          <t>NASDAQ: MU, Oct 14 2026 close</t>
        </is>
      </c>
    </row>
    <row r="38">
      <c r="B38" s="30" t="inlineStr">
        <is>
          <t>Cash &amp; investments (incl. restricted)</t>
        </is>
      </c>
      <c r="C38" s="33" t="n">
        <v>73480</v>
      </c>
      <c r="D38" s="39" t="inlineStr">
        <is>
          <t>Sept 3, 2026</t>
        </is>
      </c>
    </row>
    <row r="39">
      <c r="B39" s="30" t="inlineStr">
        <is>
          <t>Total debt</t>
        </is>
      </c>
      <c r="C39" s="33" t="n">
        <v>5180</v>
      </c>
      <c r="D39" s="39" t="inlineStr">
        <is>
          <t>Sept 3, 2026</t>
        </is>
      </c>
    </row>
    <row r="40">
      <c r="B40" s="30" t="inlineStr">
        <is>
          <t>Diluted shares (M)</t>
        </is>
      </c>
      <c r="C40" s="33" t="n">
        <v>1147</v>
      </c>
      <c r="D40" s="39" t="inlineStr">
        <is>
          <t>Q4 FY2026 diluted</t>
        </is>
      </c>
    </row>
    <row r="41">
      <c r="B41" s="30" t="inlineStr">
        <is>
          <t>Q1 FY2027 revenue guide (midpoint)</t>
        </is>
      </c>
      <c r="C41" s="33" t="n">
        <v>61500</v>
      </c>
      <c r="D41" s="39" t="inlineStr">
        <is>
          <t>±$1.5B; GM ~86.25%</t>
        </is>
      </c>
    </row>
    <row r="42">
      <c r="B42" s="30" t="inlineStr">
        <is>
          <t>Q1 FY2027 non-GAAP EPS guide ($)</t>
        </is>
      </c>
      <c r="C42" s="40" t="n">
        <v>38.15</v>
      </c>
      <c r="D42" s="39" t="inlineStr">
        <is>
          <t>±$1.00</t>
        </is>
      </c>
    </row>
    <row r="43">
      <c r="B43" s="21" t="inlineStr">
        <is>
          <t>WACC, TERMINAL VALUE, RATING &amp; SENSITIVITY</t>
        </is>
      </c>
    </row>
    <row r="44">
      <c r="B44" s="30" t="inlineStr">
        <is>
          <t>Risk-free rate (10-yr UST)</t>
        </is>
      </c>
      <c r="C44" s="43" t="n">
        <v>0.051</v>
      </c>
      <c r="D44" s="39" t="inlineStr">
        <is>
          <t>~5.1%, mid-Oct 2026</t>
        </is>
      </c>
    </row>
    <row r="45">
      <c r="B45" s="30" t="inlineStr">
        <is>
          <t>Equity risk premium</t>
        </is>
      </c>
      <c r="C45" s="43" t="n">
        <v>0.043</v>
      </c>
    </row>
    <row r="46">
      <c r="B46" s="30" t="inlineStr">
        <is>
          <t>Levered beta</t>
        </is>
      </c>
      <c r="C46" s="44" t="n">
        <v>1.5</v>
      </c>
      <c r="D46" s="39" t="inlineStr">
        <is>
          <t>Memory cyclical; 5-yr beta ~1.4–1.6</t>
        </is>
      </c>
    </row>
    <row r="47">
      <c r="B47" s="30" t="inlineStr">
        <is>
          <t>Pre-tax cost of debt</t>
        </is>
      </c>
      <c r="C47" s="43" t="n">
        <v>0.05</v>
      </c>
    </row>
    <row r="48">
      <c r="B48" s="30" t="inlineStr">
        <is>
          <t>Tax rate (debt shield)</t>
        </is>
      </c>
      <c r="C48" s="43" t="n">
        <v>0.155</v>
      </c>
    </row>
    <row r="49">
      <c r="B49" s="30" t="inlineStr">
        <is>
          <t>Debt / total capital</t>
        </is>
      </c>
      <c r="C49" s="45">
        <f>C39/(C39+C37*C40)</f>
        <v/>
      </c>
      <c r="D49" s="39" t="inlineStr">
        <is>
          <t>Formula — market weights</t>
        </is>
      </c>
    </row>
    <row r="50">
      <c r="B50" s="30" t="inlineStr">
        <is>
          <t>Terminal growth rate</t>
        </is>
      </c>
      <c r="C50" s="43" t="n">
        <v>0.03</v>
      </c>
    </row>
    <row r="51">
      <c r="B51" s="30" t="inlineStr">
        <is>
          <t>Overweight if PT upside ≥</t>
        </is>
      </c>
      <c r="C51" s="32" t="n">
        <v>0.1</v>
      </c>
    </row>
    <row r="52">
      <c r="B52" s="30" t="inlineStr">
        <is>
          <t>Underweight if PT upside ≤</t>
        </is>
      </c>
      <c r="C52" s="32" t="n">
        <v>-0.1</v>
      </c>
      <c r="D52" s="39" t="inlineStr">
        <is>
          <t>Otherwise Equal-Weight</t>
        </is>
      </c>
    </row>
    <row r="53">
      <c r="B53" s="30" t="inlineStr">
        <is>
          <t>Round PT to nearest ($)</t>
        </is>
      </c>
      <c r="C53" s="46" t="n">
        <v>10</v>
      </c>
    </row>
    <row r="54">
      <c r="B54" s="30" t="inlineStr">
        <is>
          <t>Sensitivity step — WACC</t>
        </is>
      </c>
      <c r="C54" s="43" t="n">
        <v>0.005</v>
      </c>
    </row>
    <row r="55">
      <c r="B55" s="30" t="inlineStr">
        <is>
          <t>Sensitivity step — terminal growth</t>
        </is>
      </c>
      <c r="C55" s="43" t="n">
        <v>0.005</v>
      </c>
    </row>
    <row r="57">
      <c r="B57" s="21" t="inlineStr">
        <is>
          <t>SCENARIOS  (ASP adj. applies to bust years FY2029E–FY2031E; margin &amp; capex adj. FY2029E onward)</t>
        </is>
      </c>
    </row>
    <row r="58">
      <c r="B58" s="27" t="inlineStr">
        <is>
          <t>Parameter</t>
        </is>
      </c>
      <c r="C58" s="47" t="inlineStr">
        <is>
          <t>Bear</t>
        </is>
      </c>
      <c r="D58" s="29" t="inlineStr">
        <is>
          <t>Base</t>
        </is>
      </c>
      <c r="E58" s="48" t="inlineStr">
        <is>
          <t>Bull</t>
        </is>
      </c>
    </row>
    <row r="59">
      <c r="B59" s="30" t="inlineStr">
        <is>
          <t>DRAM &amp; NAND ASP adj. in bust years (pp)</t>
        </is>
      </c>
      <c r="C59" s="32" t="n">
        <v>-0.15</v>
      </c>
      <c r="D59" s="32" t="n">
        <v>0</v>
      </c>
      <c r="E59" s="32" t="n">
        <v>0.15</v>
      </c>
    </row>
    <row r="60">
      <c r="B60" s="30" t="inlineStr">
        <is>
          <t>Gross margin adj. (pp)</t>
        </is>
      </c>
      <c r="C60" s="32" t="n">
        <v>-0.05</v>
      </c>
      <c r="D60" s="32" t="n">
        <v>0</v>
      </c>
      <c r="E60" s="32" t="n">
        <v>0.05</v>
      </c>
    </row>
    <row r="61">
      <c r="B61" s="30" t="inlineStr">
        <is>
          <t>Capex intensity adj. (pp of revenue)</t>
        </is>
      </c>
      <c r="C61" s="32" t="n">
        <v>0.02</v>
      </c>
      <c r="D61" s="32" t="n">
        <v>0</v>
      </c>
      <c r="E61" s="32" t="n">
        <v>-0.02</v>
      </c>
    </row>
    <row r="62">
      <c r="B62" s="30" t="inlineStr">
        <is>
          <t>WACC adj. (pp)</t>
        </is>
      </c>
      <c r="C62" s="43" t="n">
        <v>0.01</v>
      </c>
      <c r="D62" s="43" t="n">
        <v>0</v>
      </c>
      <c r="E62" s="43" t="n">
        <v>-0.01</v>
      </c>
    </row>
    <row r="63">
      <c r="B63" s="30" t="inlineStr">
        <is>
          <t>Terminal growth</t>
        </is>
      </c>
      <c r="C63" s="43" t="n">
        <v>0.025</v>
      </c>
      <c r="D63" s="45">
        <f>$C$50</f>
        <v/>
      </c>
      <c r="E63" s="43" t="n">
        <v>0.035</v>
      </c>
    </row>
    <row r="64">
      <c r="B64" s="30" t="inlineStr">
        <is>
          <t>Probability weight → Price Target</t>
        </is>
      </c>
      <c r="C64" s="32" t="n">
        <v>0.25</v>
      </c>
      <c r="D64" s="32" t="n">
        <v>0.5</v>
      </c>
      <c r="E64" s="32" t="n">
        <v>0.25</v>
      </c>
    </row>
    <row r="65">
      <c r="B65" s="37" t="inlineStr">
        <is>
          <t xml:space="preserve">  Probability check (must = 100%)</t>
        </is>
      </c>
      <c r="C65" s="38">
        <f>SUM(C64:E64)</f>
        <v/>
      </c>
    </row>
    <row r="67" ht="40" customHeight="1">
      <c r="B67" s="49" t="inlineStr">
        <is>
          <t>Sources: Micron FY2026 Q4 / full-year results (Sept 30 2026) and 8-K; Q4 FY2026 earnings call (FY2027 opex +~$2.5B, H1 FY2027 capex ~$25B, FY2027 capex 'materially higher', tax ~15.5%; supply tighter in FY2027–28; &gt;75% of FY2027 output committed); FY2025 10-K. DRAM/NAND split of FY2026A, bit growth, ASP paths, and the FY2029E–FY2031E downturn are analyst estimates — management has given no view beyond FY2028.</t>
        </is>
      </c>
    </row>
    <row r="68" ht="4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>
      <c r="B69" s="25" t="inlineStr">
        <is>
          <t>Francisco Rodriguez  |  Financial Modeling Portfolio  |  github.com/Azyo1</t>
        </is>
      </c>
    </row>
  </sheetData>
  <mergeCells count="9">
    <mergeCell ref="B2:N2"/>
    <mergeCell ref="B67:N67"/>
    <mergeCell ref="B9:N9"/>
    <mergeCell ref="B57:N57"/>
    <mergeCell ref="B4:N4"/>
    <mergeCell ref="B43:N43"/>
    <mergeCell ref="B33:N33"/>
    <mergeCell ref="B24:N24"/>
    <mergeCell ref="B16:N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.5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B2" s="26" t="inlineStr">
        <is>
          <t>Micron — Operating Model &amp; Unlevered Free Cash Flow ($M)</t>
        </is>
      </c>
    </row>
    <row r="3">
      <c r="B3" s="27" t="inlineStr"/>
      <c r="C3" s="28" t="inlineStr">
        <is>
          <t>FY2025A</t>
        </is>
      </c>
      <c r="D3" s="28" t="inlineStr">
        <is>
          <t>FY2026A</t>
        </is>
      </c>
      <c r="E3" s="29" t="inlineStr">
        <is>
          <t>FY2027E</t>
        </is>
      </c>
      <c r="F3" s="29" t="inlineStr">
        <is>
          <t>FY2028E</t>
        </is>
      </c>
      <c r="G3" s="29" t="inlineStr">
        <is>
          <t>FY2029E</t>
        </is>
      </c>
      <c r="H3" s="29" t="inlineStr">
        <is>
          <t>FY2030E</t>
        </is>
      </c>
      <c r="I3" s="29" t="inlineStr">
        <is>
          <t>FY2031E</t>
        </is>
      </c>
      <c r="J3" s="29" t="inlineStr">
        <is>
          <t>FY2032E</t>
        </is>
      </c>
      <c r="K3" s="29" t="inlineStr">
        <is>
          <t>FY2033E</t>
        </is>
      </c>
      <c r="L3" s="29" t="inlineStr">
        <is>
          <t>FY2034E</t>
        </is>
      </c>
      <c r="M3" s="29" t="inlineStr">
        <is>
          <t>FY2035E</t>
        </is>
      </c>
      <c r="N3" s="29" t="inlineStr">
        <is>
          <t>FY2036E</t>
        </is>
      </c>
    </row>
    <row r="4">
      <c r="B4" s="21" t="inlineStr">
        <is>
          <t>REVENUE</t>
        </is>
      </c>
    </row>
    <row r="5">
      <c r="B5" s="50" t="inlineStr">
        <is>
          <t>DRAM (incl. HBM)</t>
        </is>
      </c>
      <c r="C5" s="31" t="inlineStr">
        <is>
          <t>—</t>
        </is>
      </c>
      <c r="D5" s="51">
        <f>Assumptions!D12</f>
        <v/>
      </c>
      <c r="E5" s="51">
        <f>Assumptions!E12</f>
        <v/>
      </c>
      <c r="F5" s="51">
        <f>Assumptions!F12</f>
        <v/>
      </c>
      <c r="G5" s="51">
        <f>Assumptions!G12</f>
        <v/>
      </c>
      <c r="H5" s="51">
        <f>Assumptions!H12</f>
        <v/>
      </c>
      <c r="I5" s="51">
        <f>Assumptions!I12</f>
        <v/>
      </c>
      <c r="J5" s="51">
        <f>Assumptions!J12</f>
        <v/>
      </c>
      <c r="K5" s="51">
        <f>Assumptions!K12</f>
        <v/>
      </c>
      <c r="L5" s="51">
        <f>Assumptions!L12</f>
        <v/>
      </c>
      <c r="M5" s="51">
        <f>Assumptions!M12</f>
        <v/>
      </c>
      <c r="N5" s="51">
        <f>Assumptions!N12</f>
        <v/>
      </c>
    </row>
    <row r="6">
      <c r="B6" s="50" t="inlineStr">
        <is>
          <t>NAND</t>
        </is>
      </c>
      <c r="C6" s="31" t="inlineStr">
        <is>
          <t>—</t>
        </is>
      </c>
      <c r="D6" s="51">
        <f>Assumptions!D13</f>
        <v/>
      </c>
      <c r="E6" s="51">
        <f>Assumptions!E13</f>
        <v/>
      </c>
      <c r="F6" s="51">
        <f>Assumptions!F13</f>
        <v/>
      </c>
      <c r="G6" s="51">
        <f>Assumptions!G13</f>
        <v/>
      </c>
      <c r="H6" s="51">
        <f>Assumptions!H13</f>
        <v/>
      </c>
      <c r="I6" s="51">
        <f>Assumptions!I13</f>
        <v/>
      </c>
      <c r="J6" s="51">
        <f>Assumptions!J13</f>
        <v/>
      </c>
      <c r="K6" s="51">
        <f>Assumptions!K13</f>
        <v/>
      </c>
      <c r="L6" s="51">
        <f>Assumptions!L13</f>
        <v/>
      </c>
      <c r="M6" s="51">
        <f>Assumptions!M13</f>
        <v/>
      </c>
      <c r="N6" s="51">
        <f>Assumptions!N13</f>
        <v/>
      </c>
    </row>
    <row r="7">
      <c r="B7" s="35" t="inlineStr">
        <is>
          <t>Total revenue</t>
        </is>
      </c>
      <c r="C7" s="51">
        <f>Assumptions!C14</f>
        <v/>
      </c>
      <c r="D7" s="36">
        <f>D5+D6</f>
        <v/>
      </c>
      <c r="E7" s="36">
        <f>E5+E6</f>
        <v/>
      </c>
      <c r="F7" s="36">
        <f>F5+F6</f>
        <v/>
      </c>
      <c r="G7" s="36">
        <f>G5+G6</f>
        <v/>
      </c>
      <c r="H7" s="36">
        <f>H5+H6</f>
        <v/>
      </c>
      <c r="I7" s="36">
        <f>I5+I6</f>
        <v/>
      </c>
      <c r="J7" s="36">
        <f>J5+J6</f>
        <v/>
      </c>
      <c r="K7" s="36">
        <f>K5+K6</f>
        <v/>
      </c>
      <c r="L7" s="36">
        <f>L5+L6</f>
        <v/>
      </c>
      <c r="M7" s="36">
        <f>M5+M6</f>
        <v/>
      </c>
      <c r="N7" s="36">
        <f>N5+N6</f>
        <v/>
      </c>
    </row>
    <row r="8">
      <c r="B8" s="52" t="inlineStr">
        <is>
          <t xml:space="preserve">  YoY growth</t>
        </is>
      </c>
      <c r="D8" s="38">
        <f>D7/C7-1</f>
        <v/>
      </c>
      <c r="E8" s="38">
        <f>E7/D7-1</f>
        <v/>
      </c>
      <c r="F8" s="38">
        <f>F7/E7-1</f>
        <v/>
      </c>
      <c r="G8" s="38">
        <f>G7/F7-1</f>
        <v/>
      </c>
      <c r="H8" s="38">
        <f>H7/G7-1</f>
        <v/>
      </c>
      <c r="I8" s="38">
        <f>I7/H7-1</f>
        <v/>
      </c>
      <c r="J8" s="38">
        <f>J7/I7-1</f>
        <v/>
      </c>
      <c r="K8" s="38">
        <f>K7/J7-1</f>
        <v/>
      </c>
      <c r="L8" s="38">
        <f>L7/K7-1</f>
        <v/>
      </c>
      <c r="M8" s="38">
        <f>M7/L7-1</f>
        <v/>
      </c>
      <c r="N8" s="38">
        <f>N7/M7-1</f>
        <v/>
      </c>
    </row>
    <row r="9">
      <c r="B9" s="21" t="inlineStr">
        <is>
          <t>PROFITABILITY</t>
        </is>
      </c>
    </row>
    <row r="10">
      <c r="B10" s="50" t="inlineStr">
        <is>
          <t>Gross profit</t>
        </is>
      </c>
      <c r="C10" s="34">
        <f>C7*Assumptions!C17</f>
        <v/>
      </c>
      <c r="D10" s="34">
        <f>D7*Assumptions!D17</f>
        <v/>
      </c>
      <c r="E10" s="34">
        <f>E7*Assumptions!E17</f>
        <v/>
      </c>
      <c r="F10" s="34">
        <f>F7*Assumptions!F17</f>
        <v/>
      </c>
      <c r="G10" s="34">
        <f>G7*Assumptions!G17</f>
        <v/>
      </c>
      <c r="H10" s="34">
        <f>H7*Assumptions!H17</f>
        <v/>
      </c>
      <c r="I10" s="34">
        <f>I7*Assumptions!I17</f>
        <v/>
      </c>
      <c r="J10" s="34">
        <f>J7*Assumptions!J17</f>
        <v/>
      </c>
      <c r="K10" s="34">
        <f>K7*Assumptions!K17</f>
        <v/>
      </c>
      <c r="L10" s="34">
        <f>L7*Assumptions!L17</f>
        <v/>
      </c>
      <c r="M10" s="34">
        <f>M7*Assumptions!M17</f>
        <v/>
      </c>
      <c r="N10" s="34">
        <f>N7*Assumptions!N17</f>
        <v/>
      </c>
    </row>
    <row r="11">
      <c r="B11" s="52" t="inlineStr">
        <is>
          <t xml:space="preserve">  Gross margin</t>
        </is>
      </c>
      <c r="C11" s="38">
        <f>C10/C7</f>
        <v/>
      </c>
      <c r="D11" s="38">
        <f>D10/D7</f>
        <v/>
      </c>
      <c r="E11" s="38">
        <f>E10/E7</f>
        <v/>
      </c>
      <c r="F11" s="38">
        <f>F10/F7</f>
        <v/>
      </c>
      <c r="G11" s="38">
        <f>G10/G7</f>
        <v/>
      </c>
      <c r="H11" s="38">
        <f>H10/H7</f>
        <v/>
      </c>
      <c r="I11" s="38">
        <f>I10/I7</f>
        <v/>
      </c>
      <c r="J11" s="38">
        <f>J10/J7</f>
        <v/>
      </c>
      <c r="K11" s="38">
        <f>K10/K7</f>
        <v/>
      </c>
      <c r="L11" s="38">
        <f>L10/L7</f>
        <v/>
      </c>
      <c r="M11" s="38">
        <f>M10/M7</f>
        <v/>
      </c>
      <c r="N11" s="38">
        <f>N10/N7</f>
        <v/>
      </c>
    </row>
    <row r="12">
      <c r="B12" s="50" t="inlineStr">
        <is>
          <t>Less: R&amp;D + SG&amp;A</t>
        </is>
      </c>
      <c r="D12" s="34">
        <f>-(D10-D13)</f>
        <v/>
      </c>
      <c r="E12" s="34">
        <f>-Assumptions!E18</f>
        <v/>
      </c>
      <c r="F12" s="34">
        <f>-Assumptions!F18</f>
        <v/>
      </c>
      <c r="G12" s="34">
        <f>-Assumptions!G18</f>
        <v/>
      </c>
      <c r="H12" s="34">
        <f>-Assumptions!H18</f>
        <v/>
      </c>
      <c r="I12" s="34">
        <f>-Assumptions!I18</f>
        <v/>
      </c>
      <c r="J12" s="34">
        <f>-Assumptions!J18</f>
        <v/>
      </c>
      <c r="K12" s="34">
        <f>-Assumptions!K18</f>
        <v/>
      </c>
      <c r="L12" s="34">
        <f>-Assumptions!L18</f>
        <v/>
      </c>
      <c r="M12" s="34">
        <f>-Assumptions!M18</f>
        <v/>
      </c>
      <c r="N12" s="34">
        <f>-Assumptions!N18</f>
        <v/>
      </c>
    </row>
    <row r="13">
      <c r="B13" s="35" t="inlineStr">
        <is>
          <t>EBIT (operating income)</t>
        </is>
      </c>
      <c r="D13" s="36">
        <f>Assumptions!$C$25</f>
        <v/>
      </c>
      <c r="E13" s="36">
        <f>E10+E12</f>
        <v/>
      </c>
      <c r="F13" s="36">
        <f>F10+F12</f>
        <v/>
      </c>
      <c r="G13" s="36">
        <f>G10+G12</f>
        <v/>
      </c>
      <c r="H13" s="36">
        <f>H10+H12</f>
        <v/>
      </c>
      <c r="I13" s="36">
        <f>I10+I12</f>
        <v/>
      </c>
      <c r="J13" s="36">
        <f>J10+J12</f>
        <v/>
      </c>
      <c r="K13" s="36">
        <f>K10+K12</f>
        <v/>
      </c>
      <c r="L13" s="36">
        <f>L10+L12</f>
        <v/>
      </c>
      <c r="M13" s="36">
        <f>M10+M12</f>
        <v/>
      </c>
      <c r="N13" s="36">
        <f>N10+N12</f>
        <v/>
      </c>
    </row>
    <row r="14">
      <c r="B14" s="52" t="inlineStr">
        <is>
          <t xml:space="preserve">  Operating margin</t>
        </is>
      </c>
      <c r="D14" s="38">
        <f>D13/D7</f>
        <v/>
      </c>
      <c r="E14" s="38">
        <f>E13/E7</f>
        <v/>
      </c>
      <c r="F14" s="38">
        <f>F13/F7</f>
        <v/>
      </c>
      <c r="G14" s="38">
        <f>G13/G7</f>
        <v/>
      </c>
      <c r="H14" s="38">
        <f>H13/H7</f>
        <v/>
      </c>
      <c r="I14" s="38">
        <f>I13/I7</f>
        <v/>
      </c>
      <c r="J14" s="38">
        <f>J13/J7</f>
        <v/>
      </c>
      <c r="K14" s="38">
        <f>K13/K7</f>
        <v/>
      </c>
      <c r="L14" s="38">
        <f>L13/L7</f>
        <v/>
      </c>
      <c r="M14" s="38">
        <f>M13/M7</f>
        <v/>
      </c>
      <c r="N14" s="38">
        <f>N13/N7</f>
        <v/>
      </c>
    </row>
    <row r="15">
      <c r="B15" s="50" t="inlineStr">
        <is>
          <t xml:space="preserve">  Memo: EPS proxy  [EBIT × (1 − t) + interest on net cash ignored] / shares</t>
        </is>
      </c>
      <c r="D15" s="53">
        <f>D13*(1-Assumptions!$C$48)/Assumptions!$C$40</f>
        <v/>
      </c>
      <c r="E15" s="53">
        <f>E13*(1-Assumptions!$E$22)/Assumptions!$C$40</f>
        <v/>
      </c>
      <c r="F15" s="53">
        <f>F13*(1-Assumptions!$F$22)/Assumptions!$C$40</f>
        <v/>
      </c>
      <c r="G15" s="53">
        <f>G13*(1-Assumptions!$G$22)/Assumptions!$C$40</f>
        <v/>
      </c>
      <c r="H15" s="53">
        <f>H13*(1-Assumptions!$H$22)/Assumptions!$C$40</f>
        <v/>
      </c>
      <c r="I15" s="53">
        <f>I13*(1-Assumptions!$I$22)/Assumptions!$C$40</f>
        <v/>
      </c>
      <c r="J15" s="53">
        <f>J13*(1-Assumptions!$J$22)/Assumptions!$C$40</f>
        <v/>
      </c>
      <c r="K15" s="53">
        <f>K13*(1-Assumptions!$K$22)/Assumptions!$C$40</f>
        <v/>
      </c>
      <c r="L15" s="53">
        <f>L13*(1-Assumptions!$L$22)/Assumptions!$C$40</f>
        <v/>
      </c>
      <c r="M15" s="53">
        <f>M13*(1-Assumptions!$M$22)/Assumptions!$C$40</f>
        <v/>
      </c>
      <c r="N15" s="53">
        <f>N13*(1-Assumptions!$N$22)/Assumptions!$C$40</f>
        <v/>
      </c>
    </row>
    <row r="17">
      <c r="B17" s="21" t="inlineStr">
        <is>
          <t>UNLEVERED FREE CASH FLOW  (forecast; SBC treated as a cost)</t>
        </is>
      </c>
    </row>
    <row r="18">
      <c r="B18" s="50" t="inlineStr">
        <is>
          <t>EBIT</t>
        </is>
      </c>
      <c r="E18" s="34">
        <f>E13</f>
        <v/>
      </c>
      <c r="F18" s="34">
        <f>F13</f>
        <v/>
      </c>
      <c r="G18" s="34">
        <f>G13</f>
        <v/>
      </c>
      <c r="H18" s="34">
        <f>H13</f>
        <v/>
      </c>
      <c r="I18" s="34">
        <f>I13</f>
        <v/>
      </c>
      <c r="J18" s="34">
        <f>J13</f>
        <v/>
      </c>
      <c r="K18" s="34">
        <f>K13</f>
        <v/>
      </c>
      <c r="L18" s="34">
        <f>L13</f>
        <v/>
      </c>
      <c r="M18" s="34">
        <f>M13</f>
        <v/>
      </c>
      <c r="N18" s="34">
        <f>N13</f>
        <v/>
      </c>
    </row>
    <row r="19">
      <c r="B19" s="50" t="inlineStr">
        <is>
          <t xml:space="preserve">  Less: cash taxes</t>
        </is>
      </c>
      <c r="E19" s="34">
        <f>-MAX(0,E18)*Assumptions!E22</f>
        <v/>
      </c>
      <c r="F19" s="34">
        <f>-MAX(0,F18)*Assumptions!F22</f>
        <v/>
      </c>
      <c r="G19" s="34">
        <f>-MAX(0,G18)*Assumptions!G22</f>
        <v/>
      </c>
      <c r="H19" s="34">
        <f>-MAX(0,H18)*Assumptions!H22</f>
        <v/>
      </c>
      <c r="I19" s="34">
        <f>-MAX(0,I18)*Assumptions!I22</f>
        <v/>
      </c>
      <c r="J19" s="34">
        <f>-MAX(0,J18)*Assumptions!J22</f>
        <v/>
      </c>
      <c r="K19" s="34">
        <f>-MAX(0,K18)*Assumptions!K22</f>
        <v/>
      </c>
      <c r="L19" s="34">
        <f>-MAX(0,L18)*Assumptions!L22</f>
        <v/>
      </c>
      <c r="M19" s="34">
        <f>-MAX(0,M18)*Assumptions!M22</f>
        <v/>
      </c>
      <c r="N19" s="34">
        <f>-MAX(0,N18)*Assumptions!N22</f>
        <v/>
      </c>
    </row>
    <row r="20">
      <c r="B20" s="35" t="inlineStr">
        <is>
          <t>NOPAT</t>
        </is>
      </c>
      <c r="E20" s="36">
        <f>E18+E19</f>
        <v/>
      </c>
      <c r="F20" s="36">
        <f>F18+F19</f>
        <v/>
      </c>
      <c r="G20" s="36">
        <f>G18+G19</f>
        <v/>
      </c>
      <c r="H20" s="36">
        <f>H18+H19</f>
        <v/>
      </c>
      <c r="I20" s="36">
        <f>I18+I19</f>
        <v/>
      </c>
      <c r="J20" s="36">
        <f>J18+J19</f>
        <v/>
      </c>
      <c r="K20" s="36">
        <f>K18+K19</f>
        <v/>
      </c>
      <c r="L20" s="36">
        <f>L18+L19</f>
        <v/>
      </c>
      <c r="M20" s="36">
        <f>M18+M19</f>
        <v/>
      </c>
      <c r="N20" s="36">
        <f>N18+N19</f>
        <v/>
      </c>
    </row>
    <row r="21">
      <c r="B21" s="50" t="inlineStr">
        <is>
          <t xml:space="preserve">  Plus: D&amp;A</t>
        </is>
      </c>
      <c r="E21" s="34">
        <f>E7*Assumptions!E19</f>
        <v/>
      </c>
      <c r="F21" s="34">
        <f>F7*Assumptions!F19</f>
        <v/>
      </c>
      <c r="G21" s="34">
        <f>G7*Assumptions!G19</f>
        <v/>
      </c>
      <c r="H21" s="34">
        <f>H7*Assumptions!H19</f>
        <v/>
      </c>
      <c r="I21" s="34">
        <f>I7*Assumptions!I19</f>
        <v/>
      </c>
      <c r="J21" s="34">
        <f>J7*Assumptions!J19</f>
        <v/>
      </c>
      <c r="K21" s="34">
        <f>K7*Assumptions!K19</f>
        <v/>
      </c>
      <c r="L21" s="34">
        <f>L7*Assumptions!L19</f>
        <v/>
      </c>
      <c r="M21" s="34">
        <f>M7*Assumptions!M19</f>
        <v/>
      </c>
      <c r="N21" s="34">
        <f>N7*Assumptions!N19</f>
        <v/>
      </c>
    </row>
    <row r="22">
      <c r="B22" s="50" t="inlineStr">
        <is>
          <t xml:space="preserve">  Less: capex</t>
        </is>
      </c>
      <c r="E22" s="34">
        <f>-E7*Assumptions!E20</f>
        <v/>
      </c>
      <c r="F22" s="34">
        <f>-F7*Assumptions!F20</f>
        <v/>
      </c>
      <c r="G22" s="34">
        <f>-G7*Assumptions!G20</f>
        <v/>
      </c>
      <c r="H22" s="34">
        <f>-H7*Assumptions!H20</f>
        <v/>
      </c>
      <c r="I22" s="34">
        <f>-I7*Assumptions!I20</f>
        <v/>
      </c>
      <c r="J22" s="34">
        <f>-J7*Assumptions!J20</f>
        <v/>
      </c>
      <c r="K22" s="34">
        <f>-K7*Assumptions!K20</f>
        <v/>
      </c>
      <c r="L22" s="34">
        <f>-L7*Assumptions!L20</f>
        <v/>
      </c>
      <c r="M22" s="34">
        <f>-M7*Assumptions!M20</f>
        <v/>
      </c>
      <c r="N22" s="34">
        <f>-N7*Assumptions!N20</f>
        <v/>
      </c>
    </row>
    <row r="23">
      <c r="B23" s="50" t="inlineStr">
        <is>
          <t xml:space="preserve">  Less: Δ working capital</t>
        </is>
      </c>
      <c r="E23" s="34">
        <f>-(E7-D7)*Assumptions!E21</f>
        <v/>
      </c>
      <c r="F23" s="34">
        <f>-(F7-E7)*Assumptions!F21</f>
        <v/>
      </c>
      <c r="G23" s="34">
        <f>-(G7-F7)*Assumptions!G21</f>
        <v/>
      </c>
      <c r="H23" s="34">
        <f>-(H7-G7)*Assumptions!H21</f>
        <v/>
      </c>
      <c r="I23" s="34">
        <f>-(I7-H7)*Assumptions!I21</f>
        <v/>
      </c>
      <c r="J23" s="34">
        <f>-(J7-I7)*Assumptions!J21</f>
        <v/>
      </c>
      <c r="K23" s="34">
        <f>-(K7-J7)*Assumptions!K21</f>
        <v/>
      </c>
      <c r="L23" s="34">
        <f>-(L7-K7)*Assumptions!L21</f>
        <v/>
      </c>
      <c r="M23" s="34">
        <f>-(M7-L7)*Assumptions!M21</f>
        <v/>
      </c>
      <c r="N23" s="34">
        <f>-(N7-M7)*Assumptions!N21</f>
        <v/>
      </c>
    </row>
    <row r="24">
      <c r="B24" s="35" t="inlineStr">
        <is>
          <t>Unlevered free cash flow</t>
        </is>
      </c>
      <c r="E24" s="54">
        <f>SUM(E20:E23)</f>
        <v/>
      </c>
      <c r="F24" s="54">
        <f>SUM(F20:F23)</f>
        <v/>
      </c>
      <c r="G24" s="54">
        <f>SUM(G20:G23)</f>
        <v/>
      </c>
      <c r="H24" s="54">
        <f>SUM(H20:H23)</f>
        <v/>
      </c>
      <c r="I24" s="54">
        <f>SUM(I20:I23)</f>
        <v/>
      </c>
      <c r="J24" s="54">
        <f>SUM(J20:J23)</f>
        <v/>
      </c>
      <c r="K24" s="54">
        <f>SUM(K20:K23)</f>
        <v/>
      </c>
      <c r="L24" s="54">
        <f>SUM(L20:L23)</f>
        <v/>
      </c>
      <c r="M24" s="54">
        <f>SUM(M20:M23)</f>
        <v/>
      </c>
      <c r="N24" s="54">
        <f>SUM(N20:N23)</f>
        <v/>
      </c>
    </row>
    <row r="25">
      <c r="B25" s="52" t="inlineStr">
        <is>
          <t xml:space="preserve">  FCF margin</t>
        </is>
      </c>
      <c r="E25" s="38">
        <f>E24/E7</f>
        <v/>
      </c>
      <c r="F25" s="38">
        <f>F24/F7</f>
        <v/>
      </c>
      <c r="G25" s="38">
        <f>G24/G7</f>
        <v/>
      </c>
      <c r="H25" s="38">
        <f>H24/H7</f>
        <v/>
      </c>
      <c r="I25" s="38">
        <f>I24/I7</f>
        <v/>
      </c>
      <c r="J25" s="38">
        <f>J24/J7</f>
        <v/>
      </c>
      <c r="K25" s="38">
        <f>K24/K7</f>
        <v/>
      </c>
      <c r="L25" s="38">
        <f>L24/L7</f>
        <v/>
      </c>
      <c r="M25" s="38">
        <f>M24/M7</f>
        <v/>
      </c>
      <c r="N25" s="38">
        <f>N24/N7</f>
        <v/>
      </c>
    </row>
    <row r="27">
      <c r="B27" s="55" t="inlineStr">
        <is>
          <t>FY2026A: EBIT = reported operating income; opex is the residual vs. reported gross margin.</t>
        </is>
      </c>
    </row>
    <row r="28" ht="4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B29" s="25" t="inlineStr">
        <is>
          <t>Francisco Rodriguez  |  Financial Modeling Portfolio  |  github.com/Azyo1</t>
        </is>
      </c>
    </row>
  </sheetData>
  <mergeCells count="4">
    <mergeCell ref="B9:N9"/>
    <mergeCell ref="B2:N2"/>
    <mergeCell ref="B4:N4"/>
    <mergeCell ref="B17:N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4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.5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0" customHeight="1">
      <c r="B2" s="26" t="inlineStr">
        <is>
          <t>Micron — Discounted Cash Flow Analysis ($M)</t>
        </is>
      </c>
    </row>
    <row r="3">
      <c r="B3" s="27" t="inlineStr"/>
      <c r="C3" s="28" t="inlineStr">
        <is>
          <t>Value</t>
        </is>
      </c>
      <c r="D3" s="29" t="inlineStr">
        <is>
          <t>FY2027E</t>
        </is>
      </c>
      <c r="E3" s="29" t="inlineStr">
        <is>
          <t>FY2028E</t>
        </is>
      </c>
      <c r="F3" s="29" t="inlineStr">
        <is>
          <t>FY2029E</t>
        </is>
      </c>
      <c r="G3" s="29" t="inlineStr">
        <is>
          <t>FY2030E</t>
        </is>
      </c>
      <c r="H3" s="29" t="inlineStr">
        <is>
          <t>FY2031E</t>
        </is>
      </c>
      <c r="I3" s="29" t="inlineStr">
        <is>
          <t>FY2032E</t>
        </is>
      </c>
      <c r="J3" s="29" t="inlineStr">
        <is>
          <t>FY2033E</t>
        </is>
      </c>
      <c r="K3" s="29" t="inlineStr">
        <is>
          <t>FY2034E</t>
        </is>
      </c>
      <c r="L3" s="29" t="inlineStr">
        <is>
          <t>FY2035E</t>
        </is>
      </c>
      <c r="M3" s="29" t="inlineStr">
        <is>
          <t>FY2036E</t>
        </is>
      </c>
    </row>
    <row r="4">
      <c r="B4" s="21" t="inlineStr">
        <is>
          <t>WACC BUILD</t>
        </is>
      </c>
    </row>
    <row r="5">
      <c r="B5" s="50" t="inlineStr">
        <is>
          <t>Risk-free rate</t>
        </is>
      </c>
      <c r="C5" s="56">
        <f>Assumptions!$C$44</f>
        <v/>
      </c>
    </row>
    <row r="6">
      <c r="B6" s="50" t="inlineStr">
        <is>
          <t>Equity risk premium</t>
        </is>
      </c>
      <c r="C6" s="56">
        <f>Assumptions!$C$45</f>
        <v/>
      </c>
    </row>
    <row r="7">
      <c r="B7" s="50" t="inlineStr">
        <is>
          <t>Levered beta</t>
        </is>
      </c>
      <c r="C7" s="57">
        <f>Assumptions!$C$46</f>
        <v/>
      </c>
    </row>
    <row r="8">
      <c r="B8" s="35" t="inlineStr">
        <is>
          <t>Cost of equity</t>
        </is>
      </c>
      <c r="C8" s="45">
        <f>C5+C7*C6</f>
        <v/>
      </c>
    </row>
    <row r="9">
      <c r="B9" s="50" t="inlineStr">
        <is>
          <t>Pre-tax cost of debt</t>
        </is>
      </c>
      <c r="C9" s="56">
        <f>Assumptions!$C$47</f>
        <v/>
      </c>
    </row>
    <row r="10">
      <c r="B10" s="50" t="inlineStr">
        <is>
          <t>Tax rate</t>
        </is>
      </c>
      <c r="C10" s="56">
        <f>Assumptions!$C$48</f>
        <v/>
      </c>
    </row>
    <row r="11">
      <c r="B11" s="50" t="inlineStr">
        <is>
          <t>After-tax cost of debt</t>
        </is>
      </c>
      <c r="C11" s="45">
        <f>C9*(1-C10)</f>
        <v/>
      </c>
    </row>
    <row r="12">
      <c r="B12" s="50" t="inlineStr">
        <is>
          <t>Debt / total capital</t>
        </is>
      </c>
      <c r="C12" s="56">
        <f>Assumptions!$C$49</f>
        <v/>
      </c>
    </row>
    <row r="13">
      <c r="B13" s="50" t="inlineStr">
        <is>
          <t>Equity / total capital</t>
        </is>
      </c>
      <c r="C13" s="45">
        <f>1-C12</f>
        <v/>
      </c>
    </row>
    <row r="14">
      <c r="B14" s="35" t="inlineStr">
        <is>
          <t>WACC</t>
        </is>
      </c>
      <c r="C14" s="45">
        <f>C8*C13+C11*C12</f>
        <v/>
      </c>
    </row>
    <row r="15">
      <c r="B15" s="21" t="inlineStr">
        <is>
          <t>FREE CASH FLOW PROJECTION  (stub + mid-year)</t>
        </is>
      </c>
    </row>
    <row r="16">
      <c r="B16" s="35" t="inlineStr">
        <is>
          <t>Unlevered free cash flow</t>
        </is>
      </c>
      <c r="D16" s="51">
        <f>'Operating Model'!E24</f>
        <v/>
      </c>
      <c r="E16" s="51">
        <f>'Operating Model'!F24</f>
        <v/>
      </c>
      <c r="F16" s="51">
        <f>'Operating Model'!G24</f>
        <v/>
      </c>
      <c r="G16" s="51">
        <f>'Operating Model'!H24</f>
        <v/>
      </c>
      <c r="H16" s="51">
        <f>'Operating Model'!I24</f>
        <v/>
      </c>
      <c r="I16" s="51">
        <f>'Operating Model'!J24</f>
        <v/>
      </c>
      <c r="J16" s="51">
        <f>'Operating Model'!K24</f>
        <v/>
      </c>
      <c r="K16" s="51">
        <f>'Operating Model'!L24</f>
        <v/>
      </c>
      <c r="L16" s="51">
        <f>'Operating Model'!M24</f>
        <v/>
      </c>
      <c r="M16" s="51">
        <f>'Operating Model'!N24</f>
        <v/>
      </c>
    </row>
    <row r="17">
      <c r="B17" s="50" t="inlineStr">
        <is>
          <t>Fraction of year valued</t>
        </is>
      </c>
      <c r="D17" s="42">
        <f>Assumptions!$C$36</f>
        <v/>
      </c>
      <c r="E17" s="42">
        <f>1</f>
        <v/>
      </c>
      <c r="F17" s="42">
        <f>1</f>
        <v/>
      </c>
      <c r="G17" s="42">
        <f>1</f>
        <v/>
      </c>
      <c r="H17" s="42">
        <f>1</f>
        <v/>
      </c>
      <c r="I17" s="42">
        <f>1</f>
        <v/>
      </c>
      <c r="J17" s="42">
        <f>1</f>
        <v/>
      </c>
      <c r="K17" s="42">
        <f>1</f>
        <v/>
      </c>
      <c r="L17" s="42">
        <f>1</f>
        <v/>
      </c>
      <c r="M17" s="42">
        <f>1</f>
        <v/>
      </c>
    </row>
    <row r="18">
      <c r="B18" s="50" t="inlineStr">
        <is>
          <t>Discount period (years)</t>
        </is>
      </c>
      <c r="D18" s="42">
        <f>D17/2</f>
        <v/>
      </c>
      <c r="E18" s="42">
        <f>SUM($D$17:D17)+E17/2</f>
        <v/>
      </c>
      <c r="F18" s="42">
        <f>SUM($D$17:E17)+F17/2</f>
        <v/>
      </c>
      <c r="G18" s="42">
        <f>SUM($D$17:F17)+G17/2</f>
        <v/>
      </c>
      <c r="H18" s="42">
        <f>SUM($D$17:G17)+H17/2</f>
        <v/>
      </c>
      <c r="I18" s="42">
        <f>SUM($D$17:H17)+I17/2</f>
        <v/>
      </c>
      <c r="J18" s="42">
        <f>SUM($D$17:I17)+J17/2</f>
        <v/>
      </c>
      <c r="K18" s="42">
        <f>SUM($D$17:J17)+K17/2</f>
        <v/>
      </c>
      <c r="L18" s="42">
        <f>SUM($D$17:K17)+L17/2</f>
        <v/>
      </c>
      <c r="M18" s="42">
        <f>SUM($D$17:L17)+M17/2</f>
        <v/>
      </c>
    </row>
    <row r="19">
      <c r="B19" s="50" t="inlineStr">
        <is>
          <t>Discount factor</t>
        </is>
      </c>
      <c r="D19" s="58">
        <f>1/(1+$C$14)^D18</f>
        <v/>
      </c>
      <c r="E19" s="58">
        <f>1/(1+$C$14)^E18</f>
        <v/>
      </c>
      <c r="F19" s="58">
        <f>1/(1+$C$14)^F18</f>
        <v/>
      </c>
      <c r="G19" s="58">
        <f>1/(1+$C$14)^G18</f>
        <v/>
      </c>
      <c r="H19" s="58">
        <f>1/(1+$C$14)^H18</f>
        <v/>
      </c>
      <c r="I19" s="58">
        <f>1/(1+$C$14)^I18</f>
        <v/>
      </c>
      <c r="J19" s="58">
        <f>1/(1+$C$14)^J18</f>
        <v/>
      </c>
      <c r="K19" s="58">
        <f>1/(1+$C$14)^K18</f>
        <v/>
      </c>
      <c r="L19" s="58">
        <f>1/(1+$C$14)^L18</f>
        <v/>
      </c>
      <c r="M19" s="58">
        <f>1/(1+$C$14)^M18</f>
        <v/>
      </c>
    </row>
    <row r="20">
      <c r="B20" s="35" t="inlineStr">
        <is>
          <t>PV of FCF</t>
        </is>
      </c>
      <c r="D20" s="36">
        <f>D16*D17*D19</f>
        <v/>
      </c>
      <c r="E20" s="36">
        <f>E16*E17*E19</f>
        <v/>
      </c>
      <c r="F20" s="36">
        <f>F16*F17*F19</f>
        <v/>
      </c>
      <c r="G20" s="36">
        <f>G16*G17*G19</f>
        <v/>
      </c>
      <c r="H20" s="36">
        <f>H16*H17*H19</f>
        <v/>
      </c>
      <c r="I20" s="36">
        <f>I16*I17*I19</f>
        <v/>
      </c>
      <c r="J20" s="36">
        <f>J16*J17*J19</f>
        <v/>
      </c>
      <c r="K20" s="36">
        <f>K16*K17*K19</f>
        <v/>
      </c>
      <c r="L20" s="36">
        <f>L16*L17*L19</f>
        <v/>
      </c>
      <c r="M20" s="36">
        <f>M16*M17*M19</f>
        <v/>
      </c>
    </row>
    <row r="22">
      <c r="B22" s="21" t="inlineStr">
        <is>
          <t>TERMINAL VALUE &amp; EQUITY BRIDGE</t>
        </is>
      </c>
    </row>
    <row r="23">
      <c r="B23" s="35" t="inlineStr">
        <is>
          <t>Sum of PV (FCFs)</t>
        </is>
      </c>
      <c r="C23" s="54">
        <f>SUM(D20:M20)</f>
        <v/>
      </c>
    </row>
    <row r="24">
      <c r="B24" s="50" t="inlineStr">
        <is>
          <t xml:space="preserve">  of which FY2027E–FY2028E (the boom)</t>
        </is>
      </c>
      <c r="C24" s="34">
        <f>SUM(D20:E20)</f>
        <v/>
      </c>
    </row>
    <row r="25">
      <c r="B25" s="50" t="inlineStr">
        <is>
          <t>Terminal growth (g)</t>
        </is>
      </c>
      <c r="C25" s="56">
        <f>Assumptions!$C$50</f>
        <v/>
      </c>
    </row>
    <row r="26">
      <c r="B26" s="50" t="inlineStr">
        <is>
          <t>Terminal value  [FCF × (1+g) / (WACC − g)]</t>
        </is>
      </c>
      <c r="C26" s="34">
        <f>M16*(1+C25)/(C14-C25)</f>
        <v/>
      </c>
    </row>
    <row r="27">
      <c r="B27" s="50" t="inlineStr">
        <is>
          <t>PV of terminal value</t>
        </is>
      </c>
      <c r="C27" s="34">
        <f>C26*M19</f>
        <v/>
      </c>
    </row>
    <row r="28">
      <c r="B28" s="59" t="inlineStr">
        <is>
          <t>Enterprise value</t>
        </is>
      </c>
      <c r="C28" s="60">
        <f>C23+C27</f>
        <v/>
      </c>
    </row>
    <row r="29">
      <c r="B29" s="50" t="inlineStr">
        <is>
          <t xml:space="preserve">  TV as % of EV</t>
        </is>
      </c>
      <c r="C29" s="38">
        <f>C27/C28</f>
        <v/>
      </c>
    </row>
    <row r="30">
      <c r="B30" s="50" t="inlineStr">
        <is>
          <t xml:space="preserve">  Boom years (FY27–28E) as % of EV</t>
        </is>
      </c>
      <c r="C30" s="38">
        <f>C24/C28</f>
        <v/>
      </c>
    </row>
    <row r="31">
      <c r="B31" s="50" t="inlineStr">
        <is>
          <t>Plus: cash &amp; investments</t>
        </is>
      </c>
      <c r="C31" s="51">
        <f>Assumptions!$C$38</f>
        <v/>
      </c>
    </row>
    <row r="32">
      <c r="B32" s="50" t="inlineStr">
        <is>
          <t>Less: total debt</t>
        </is>
      </c>
      <c r="C32" s="51">
        <f>Assumptions!$C$39</f>
        <v/>
      </c>
    </row>
    <row r="33">
      <c r="B33" s="35" t="inlineStr">
        <is>
          <t>Equity value</t>
        </is>
      </c>
      <c r="C33" s="54">
        <f>C28+C31-C32</f>
        <v/>
      </c>
    </row>
    <row r="34">
      <c r="B34" s="50" t="inlineStr">
        <is>
          <t>Diluted shares (M)</t>
        </is>
      </c>
      <c r="C34" s="51">
        <f>Assumptions!$C$40</f>
        <v/>
      </c>
    </row>
    <row r="35">
      <c r="B35" s="59" t="inlineStr">
        <is>
          <t>DCF value per share (Base)</t>
        </is>
      </c>
      <c r="C35" s="61">
        <f>C33/C34</f>
        <v/>
      </c>
    </row>
    <row r="36">
      <c r="B36" s="50" t="inlineStr">
        <is>
          <t>Current share price</t>
        </is>
      </c>
      <c r="C36" s="62">
        <f>Assumptions!$C$37</f>
        <v/>
      </c>
    </row>
    <row r="37">
      <c r="B37" s="35" t="inlineStr">
        <is>
          <t>DCF upside / (downside)</t>
        </is>
      </c>
      <c r="C37" s="63">
        <f>C35/C36-1</f>
        <v/>
      </c>
    </row>
    <row r="38">
      <c r="B38" s="50" t="inlineStr">
        <is>
          <t>Probability-weighted value (Bear/Base/Bull)</t>
        </is>
      </c>
      <c r="C38" s="62">
        <f>Sensitivity!$C$22</f>
        <v/>
      </c>
    </row>
    <row r="39">
      <c r="B39" s="59" t="inlineStr">
        <is>
          <t>★ PRICE TARGET</t>
        </is>
      </c>
      <c r="C39" s="64">
        <f>ROUND(C38/Assumptions!$C$53,0)*Assumptions!$C$53</f>
        <v/>
      </c>
    </row>
    <row r="40">
      <c r="B40" s="59" t="inlineStr">
        <is>
          <t>PT upside / (downside)</t>
        </is>
      </c>
      <c r="C40" s="65">
        <f>C39/C36-1</f>
        <v/>
      </c>
    </row>
    <row r="41">
      <c r="B41" s="59" t="inlineStr">
        <is>
          <t>★ RATING</t>
        </is>
      </c>
      <c r="C41" s="66">
        <f>IF(C40&gt;=Assumptions!$C$51,"OVERWEIGHT",IF(C40&lt;=Assumptions!$C$52,"UNDERWEIGHT","EQUAL-WEIGHT"))</f>
        <v/>
      </c>
    </row>
    <row r="43" ht="4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B44" s="25" t="inlineStr">
        <is>
          <t>Francisco Rodriguez  |  Financial Modeling Portfolio  |  github.com/Azyo1</t>
        </is>
      </c>
    </row>
  </sheetData>
  <mergeCells count="4">
    <mergeCell ref="B22:M22"/>
    <mergeCell ref="B4:M4"/>
    <mergeCell ref="B2:M2"/>
    <mergeCell ref="B15:M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5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B2" s="26" t="inlineStr">
        <is>
          <t>Micron — Sensitivity, Scenarios &amp; Cycle Multiples  (live formulas)</t>
        </is>
      </c>
    </row>
    <row r="3">
      <c r="B3" s="21" t="inlineStr">
        <is>
          <t>TABLE 1 — Base DCF value per share: WACC × terminal growth</t>
        </is>
      </c>
    </row>
    <row r="4">
      <c r="B4" s="67" t="inlineStr">
        <is>
          <t>g ↓  |  WACC →</t>
        </is>
      </c>
      <c r="C4" s="68">
        <f>DCF!$C$14+(-3)*Assumptions!$C$54</f>
        <v/>
      </c>
      <c r="D4" s="68">
        <f>DCF!$C$14+(-2)*Assumptions!$C$54</f>
        <v/>
      </c>
      <c r="E4" s="68">
        <f>DCF!$C$14+(-1)*Assumptions!$C$54</f>
        <v/>
      </c>
      <c r="F4" s="68">
        <f>DCF!$C$14+(0)*Assumptions!$C$54</f>
        <v/>
      </c>
      <c r="G4" s="68">
        <f>DCF!$C$14+(1)*Assumptions!$C$54</f>
        <v/>
      </c>
      <c r="H4" s="68">
        <f>DCF!$C$14+(2)*Assumptions!$C$54</f>
        <v/>
      </c>
      <c r="I4" s="68">
        <f>DCF!$C$14+(3)*Assumptions!$C$54</f>
        <v/>
      </c>
    </row>
    <row r="5">
      <c r="B5" s="68">
        <f>Assumptions!$C$50+(-2)*Assumptions!$C$55</f>
        <v/>
      </c>
      <c r="C5" s="69">
        <f>(DCF!D$16*DCF!D$17/(1+C$4)^DCF!D$18+DCF!E$16*DCF!E$17/(1+C$4)^DCF!E$18+DCF!F$16*DCF!F$17/(1+C$4)^DCF!F$18+DCF!G$16*DCF!G$17/(1+C$4)^DCF!G$18+DCF!H$16*DCF!H$17/(1+C$4)^DCF!H$18+DCF!I$16*DCF!I$17/(1+C$4)^DCF!I$18+DCF!J$16*DCF!J$17/(1+C$4)^DCF!J$18+DCF!K$16*DCF!K$17/(1+C$4)^DCF!K$18+DCF!L$16*DCF!L$17/(1+C$4)^DCF!L$18+DCF!M$16*DCF!M$17/(1+C$4)^DCF!M$18+DCF!$M$16*(1+$B5)/(C$4-$B5)/(1+C$4)^DCF!$M$18+DCF!$C$31-DCF!$C$32)/DCF!$C$34</f>
        <v/>
      </c>
      <c r="D5" s="69">
        <f>(DCF!D$16*DCF!D$17/(1+D$4)^DCF!D$18+DCF!E$16*DCF!E$17/(1+D$4)^DCF!E$18+DCF!F$16*DCF!F$17/(1+D$4)^DCF!F$18+DCF!G$16*DCF!G$17/(1+D$4)^DCF!G$18+DCF!H$16*DCF!H$17/(1+D$4)^DCF!H$18+DCF!I$16*DCF!I$17/(1+D$4)^DCF!I$18+DCF!J$16*DCF!J$17/(1+D$4)^DCF!J$18+DCF!K$16*DCF!K$17/(1+D$4)^DCF!K$18+DCF!L$16*DCF!L$17/(1+D$4)^DCF!L$18+DCF!M$16*DCF!M$17/(1+D$4)^DCF!M$18+DCF!$M$16*(1+$B5)/(D$4-$B5)/(1+D$4)^DCF!$M$18+DCF!$C$31-DCF!$C$32)/DCF!$C$34</f>
        <v/>
      </c>
      <c r="E5" s="69">
        <f>(DCF!D$16*DCF!D$17/(1+E$4)^DCF!D$18+DCF!E$16*DCF!E$17/(1+E$4)^DCF!E$18+DCF!F$16*DCF!F$17/(1+E$4)^DCF!F$18+DCF!G$16*DCF!G$17/(1+E$4)^DCF!G$18+DCF!H$16*DCF!H$17/(1+E$4)^DCF!H$18+DCF!I$16*DCF!I$17/(1+E$4)^DCF!I$18+DCF!J$16*DCF!J$17/(1+E$4)^DCF!J$18+DCF!K$16*DCF!K$17/(1+E$4)^DCF!K$18+DCF!L$16*DCF!L$17/(1+E$4)^DCF!L$18+DCF!M$16*DCF!M$17/(1+E$4)^DCF!M$18+DCF!$M$16*(1+$B5)/(E$4-$B5)/(1+E$4)^DCF!$M$18+DCF!$C$31-DCF!$C$32)/DCF!$C$34</f>
        <v/>
      </c>
      <c r="F5" s="69">
        <f>(DCF!D$16*DCF!D$17/(1+F$4)^DCF!D$18+DCF!E$16*DCF!E$17/(1+F$4)^DCF!E$18+DCF!F$16*DCF!F$17/(1+F$4)^DCF!F$18+DCF!G$16*DCF!G$17/(1+F$4)^DCF!G$18+DCF!H$16*DCF!H$17/(1+F$4)^DCF!H$18+DCF!I$16*DCF!I$17/(1+F$4)^DCF!I$18+DCF!J$16*DCF!J$17/(1+F$4)^DCF!J$18+DCF!K$16*DCF!K$17/(1+F$4)^DCF!K$18+DCF!L$16*DCF!L$17/(1+F$4)^DCF!L$18+DCF!M$16*DCF!M$17/(1+F$4)^DCF!M$18+DCF!$M$16*(1+$B5)/(F$4-$B5)/(1+F$4)^DCF!$M$18+DCF!$C$31-DCF!$C$32)/DCF!$C$34</f>
        <v/>
      </c>
      <c r="G5" s="69">
        <f>(DCF!D$16*DCF!D$17/(1+G$4)^DCF!D$18+DCF!E$16*DCF!E$17/(1+G$4)^DCF!E$18+DCF!F$16*DCF!F$17/(1+G$4)^DCF!F$18+DCF!G$16*DCF!G$17/(1+G$4)^DCF!G$18+DCF!H$16*DCF!H$17/(1+G$4)^DCF!H$18+DCF!I$16*DCF!I$17/(1+G$4)^DCF!I$18+DCF!J$16*DCF!J$17/(1+G$4)^DCF!J$18+DCF!K$16*DCF!K$17/(1+G$4)^DCF!K$18+DCF!L$16*DCF!L$17/(1+G$4)^DCF!L$18+DCF!M$16*DCF!M$17/(1+G$4)^DCF!M$18+DCF!$M$16*(1+$B5)/(G$4-$B5)/(1+G$4)^DCF!$M$18+DCF!$C$31-DCF!$C$32)/DCF!$C$34</f>
        <v/>
      </c>
      <c r="H5" s="69">
        <f>(DCF!D$16*DCF!D$17/(1+H$4)^DCF!D$18+DCF!E$16*DCF!E$17/(1+H$4)^DCF!E$18+DCF!F$16*DCF!F$17/(1+H$4)^DCF!F$18+DCF!G$16*DCF!G$17/(1+H$4)^DCF!G$18+DCF!H$16*DCF!H$17/(1+H$4)^DCF!H$18+DCF!I$16*DCF!I$17/(1+H$4)^DCF!I$18+DCF!J$16*DCF!J$17/(1+H$4)^DCF!J$18+DCF!K$16*DCF!K$17/(1+H$4)^DCF!K$18+DCF!L$16*DCF!L$17/(1+H$4)^DCF!L$18+DCF!M$16*DCF!M$17/(1+H$4)^DCF!M$18+DCF!$M$16*(1+$B5)/(H$4-$B5)/(1+H$4)^DCF!$M$18+DCF!$C$31-DCF!$C$32)/DCF!$C$34</f>
        <v/>
      </c>
      <c r="I5" s="69">
        <f>(DCF!D$16*DCF!D$17/(1+I$4)^DCF!D$18+DCF!E$16*DCF!E$17/(1+I$4)^DCF!E$18+DCF!F$16*DCF!F$17/(1+I$4)^DCF!F$18+DCF!G$16*DCF!G$17/(1+I$4)^DCF!G$18+DCF!H$16*DCF!H$17/(1+I$4)^DCF!H$18+DCF!I$16*DCF!I$17/(1+I$4)^DCF!I$18+DCF!J$16*DCF!J$17/(1+I$4)^DCF!J$18+DCF!K$16*DCF!K$17/(1+I$4)^DCF!K$18+DCF!L$16*DCF!L$17/(1+I$4)^DCF!L$18+DCF!M$16*DCF!M$17/(1+I$4)^DCF!M$18+DCF!$M$16*(1+$B5)/(I$4-$B5)/(1+I$4)^DCF!$M$18+DCF!$C$31-DCF!$C$32)/DCF!$C$34</f>
        <v/>
      </c>
    </row>
    <row r="6">
      <c r="B6" s="68">
        <f>Assumptions!$C$50+(-1)*Assumptions!$C$55</f>
        <v/>
      </c>
      <c r="C6" s="69">
        <f>(DCF!D$16*DCF!D$17/(1+C$4)^DCF!D$18+DCF!E$16*DCF!E$17/(1+C$4)^DCF!E$18+DCF!F$16*DCF!F$17/(1+C$4)^DCF!F$18+DCF!G$16*DCF!G$17/(1+C$4)^DCF!G$18+DCF!H$16*DCF!H$17/(1+C$4)^DCF!H$18+DCF!I$16*DCF!I$17/(1+C$4)^DCF!I$18+DCF!J$16*DCF!J$17/(1+C$4)^DCF!J$18+DCF!K$16*DCF!K$17/(1+C$4)^DCF!K$18+DCF!L$16*DCF!L$17/(1+C$4)^DCF!L$18+DCF!M$16*DCF!M$17/(1+C$4)^DCF!M$18+DCF!$M$16*(1+$B6)/(C$4-$B6)/(1+C$4)^DCF!$M$18+DCF!$C$31-DCF!$C$32)/DCF!$C$34</f>
        <v/>
      </c>
      <c r="D6" s="69">
        <f>(DCF!D$16*DCF!D$17/(1+D$4)^DCF!D$18+DCF!E$16*DCF!E$17/(1+D$4)^DCF!E$18+DCF!F$16*DCF!F$17/(1+D$4)^DCF!F$18+DCF!G$16*DCF!G$17/(1+D$4)^DCF!G$18+DCF!H$16*DCF!H$17/(1+D$4)^DCF!H$18+DCF!I$16*DCF!I$17/(1+D$4)^DCF!I$18+DCF!J$16*DCF!J$17/(1+D$4)^DCF!J$18+DCF!K$16*DCF!K$17/(1+D$4)^DCF!K$18+DCF!L$16*DCF!L$17/(1+D$4)^DCF!L$18+DCF!M$16*DCF!M$17/(1+D$4)^DCF!M$18+DCF!$M$16*(1+$B6)/(D$4-$B6)/(1+D$4)^DCF!$M$18+DCF!$C$31-DCF!$C$32)/DCF!$C$34</f>
        <v/>
      </c>
      <c r="E6" s="69">
        <f>(DCF!D$16*DCF!D$17/(1+E$4)^DCF!D$18+DCF!E$16*DCF!E$17/(1+E$4)^DCF!E$18+DCF!F$16*DCF!F$17/(1+E$4)^DCF!F$18+DCF!G$16*DCF!G$17/(1+E$4)^DCF!G$18+DCF!H$16*DCF!H$17/(1+E$4)^DCF!H$18+DCF!I$16*DCF!I$17/(1+E$4)^DCF!I$18+DCF!J$16*DCF!J$17/(1+E$4)^DCF!J$18+DCF!K$16*DCF!K$17/(1+E$4)^DCF!K$18+DCF!L$16*DCF!L$17/(1+E$4)^DCF!L$18+DCF!M$16*DCF!M$17/(1+E$4)^DCF!M$18+DCF!$M$16*(1+$B6)/(E$4-$B6)/(1+E$4)^DCF!$M$18+DCF!$C$31-DCF!$C$32)/DCF!$C$34</f>
        <v/>
      </c>
      <c r="F6" s="69">
        <f>(DCF!D$16*DCF!D$17/(1+F$4)^DCF!D$18+DCF!E$16*DCF!E$17/(1+F$4)^DCF!E$18+DCF!F$16*DCF!F$17/(1+F$4)^DCF!F$18+DCF!G$16*DCF!G$17/(1+F$4)^DCF!G$18+DCF!H$16*DCF!H$17/(1+F$4)^DCF!H$18+DCF!I$16*DCF!I$17/(1+F$4)^DCF!I$18+DCF!J$16*DCF!J$17/(1+F$4)^DCF!J$18+DCF!K$16*DCF!K$17/(1+F$4)^DCF!K$18+DCF!L$16*DCF!L$17/(1+F$4)^DCF!L$18+DCF!M$16*DCF!M$17/(1+F$4)^DCF!M$18+DCF!$M$16*(1+$B6)/(F$4-$B6)/(1+F$4)^DCF!$M$18+DCF!$C$31-DCF!$C$32)/DCF!$C$34</f>
        <v/>
      </c>
      <c r="G6" s="69">
        <f>(DCF!D$16*DCF!D$17/(1+G$4)^DCF!D$18+DCF!E$16*DCF!E$17/(1+G$4)^DCF!E$18+DCF!F$16*DCF!F$17/(1+G$4)^DCF!F$18+DCF!G$16*DCF!G$17/(1+G$4)^DCF!G$18+DCF!H$16*DCF!H$17/(1+G$4)^DCF!H$18+DCF!I$16*DCF!I$17/(1+G$4)^DCF!I$18+DCF!J$16*DCF!J$17/(1+G$4)^DCF!J$18+DCF!K$16*DCF!K$17/(1+G$4)^DCF!K$18+DCF!L$16*DCF!L$17/(1+G$4)^DCF!L$18+DCF!M$16*DCF!M$17/(1+G$4)^DCF!M$18+DCF!$M$16*(1+$B6)/(G$4-$B6)/(1+G$4)^DCF!$M$18+DCF!$C$31-DCF!$C$32)/DCF!$C$34</f>
        <v/>
      </c>
      <c r="H6" s="69">
        <f>(DCF!D$16*DCF!D$17/(1+H$4)^DCF!D$18+DCF!E$16*DCF!E$17/(1+H$4)^DCF!E$18+DCF!F$16*DCF!F$17/(1+H$4)^DCF!F$18+DCF!G$16*DCF!G$17/(1+H$4)^DCF!G$18+DCF!H$16*DCF!H$17/(1+H$4)^DCF!H$18+DCF!I$16*DCF!I$17/(1+H$4)^DCF!I$18+DCF!J$16*DCF!J$17/(1+H$4)^DCF!J$18+DCF!K$16*DCF!K$17/(1+H$4)^DCF!K$18+DCF!L$16*DCF!L$17/(1+H$4)^DCF!L$18+DCF!M$16*DCF!M$17/(1+H$4)^DCF!M$18+DCF!$M$16*(1+$B6)/(H$4-$B6)/(1+H$4)^DCF!$M$18+DCF!$C$31-DCF!$C$32)/DCF!$C$34</f>
        <v/>
      </c>
      <c r="I6" s="69">
        <f>(DCF!D$16*DCF!D$17/(1+I$4)^DCF!D$18+DCF!E$16*DCF!E$17/(1+I$4)^DCF!E$18+DCF!F$16*DCF!F$17/(1+I$4)^DCF!F$18+DCF!G$16*DCF!G$17/(1+I$4)^DCF!G$18+DCF!H$16*DCF!H$17/(1+I$4)^DCF!H$18+DCF!I$16*DCF!I$17/(1+I$4)^DCF!I$18+DCF!J$16*DCF!J$17/(1+I$4)^DCF!J$18+DCF!K$16*DCF!K$17/(1+I$4)^DCF!K$18+DCF!L$16*DCF!L$17/(1+I$4)^DCF!L$18+DCF!M$16*DCF!M$17/(1+I$4)^DCF!M$18+DCF!$M$16*(1+$B6)/(I$4-$B6)/(1+I$4)^DCF!$M$18+DCF!$C$31-DCF!$C$32)/DCF!$C$34</f>
        <v/>
      </c>
    </row>
    <row r="7">
      <c r="B7" s="68">
        <f>Assumptions!$C$50+(0)*Assumptions!$C$55</f>
        <v/>
      </c>
      <c r="C7" s="69">
        <f>(DCF!D$16*DCF!D$17/(1+C$4)^DCF!D$18+DCF!E$16*DCF!E$17/(1+C$4)^DCF!E$18+DCF!F$16*DCF!F$17/(1+C$4)^DCF!F$18+DCF!G$16*DCF!G$17/(1+C$4)^DCF!G$18+DCF!H$16*DCF!H$17/(1+C$4)^DCF!H$18+DCF!I$16*DCF!I$17/(1+C$4)^DCF!I$18+DCF!J$16*DCF!J$17/(1+C$4)^DCF!J$18+DCF!K$16*DCF!K$17/(1+C$4)^DCF!K$18+DCF!L$16*DCF!L$17/(1+C$4)^DCF!L$18+DCF!M$16*DCF!M$17/(1+C$4)^DCF!M$18+DCF!$M$16*(1+$B7)/(C$4-$B7)/(1+C$4)^DCF!$M$18+DCF!$C$31-DCF!$C$32)/DCF!$C$34</f>
        <v/>
      </c>
      <c r="D7" s="69">
        <f>(DCF!D$16*DCF!D$17/(1+D$4)^DCF!D$18+DCF!E$16*DCF!E$17/(1+D$4)^DCF!E$18+DCF!F$16*DCF!F$17/(1+D$4)^DCF!F$18+DCF!G$16*DCF!G$17/(1+D$4)^DCF!G$18+DCF!H$16*DCF!H$17/(1+D$4)^DCF!H$18+DCF!I$16*DCF!I$17/(1+D$4)^DCF!I$18+DCF!J$16*DCF!J$17/(1+D$4)^DCF!J$18+DCF!K$16*DCF!K$17/(1+D$4)^DCF!K$18+DCF!L$16*DCF!L$17/(1+D$4)^DCF!L$18+DCF!M$16*DCF!M$17/(1+D$4)^DCF!M$18+DCF!$M$16*(1+$B7)/(D$4-$B7)/(1+D$4)^DCF!$M$18+DCF!$C$31-DCF!$C$32)/DCF!$C$34</f>
        <v/>
      </c>
      <c r="E7" s="69">
        <f>(DCF!D$16*DCF!D$17/(1+E$4)^DCF!D$18+DCF!E$16*DCF!E$17/(1+E$4)^DCF!E$18+DCF!F$16*DCF!F$17/(1+E$4)^DCF!F$18+DCF!G$16*DCF!G$17/(1+E$4)^DCF!G$18+DCF!H$16*DCF!H$17/(1+E$4)^DCF!H$18+DCF!I$16*DCF!I$17/(1+E$4)^DCF!I$18+DCF!J$16*DCF!J$17/(1+E$4)^DCF!J$18+DCF!K$16*DCF!K$17/(1+E$4)^DCF!K$18+DCF!L$16*DCF!L$17/(1+E$4)^DCF!L$18+DCF!M$16*DCF!M$17/(1+E$4)^DCF!M$18+DCF!$M$16*(1+$B7)/(E$4-$B7)/(1+E$4)^DCF!$M$18+DCF!$C$31-DCF!$C$32)/DCF!$C$34</f>
        <v/>
      </c>
      <c r="F7" s="70">
        <f>(DCF!D$16*DCF!D$17/(1+F$4)^DCF!D$18+DCF!E$16*DCF!E$17/(1+F$4)^DCF!E$18+DCF!F$16*DCF!F$17/(1+F$4)^DCF!F$18+DCF!G$16*DCF!G$17/(1+F$4)^DCF!G$18+DCF!H$16*DCF!H$17/(1+F$4)^DCF!H$18+DCF!I$16*DCF!I$17/(1+F$4)^DCF!I$18+DCF!J$16*DCF!J$17/(1+F$4)^DCF!J$18+DCF!K$16*DCF!K$17/(1+F$4)^DCF!K$18+DCF!L$16*DCF!L$17/(1+F$4)^DCF!L$18+DCF!M$16*DCF!M$17/(1+F$4)^DCF!M$18+DCF!$M$16*(1+$B7)/(F$4-$B7)/(1+F$4)^DCF!$M$18+DCF!$C$31-DCF!$C$32)/DCF!$C$34</f>
        <v/>
      </c>
      <c r="G7" s="69">
        <f>(DCF!D$16*DCF!D$17/(1+G$4)^DCF!D$18+DCF!E$16*DCF!E$17/(1+G$4)^DCF!E$18+DCF!F$16*DCF!F$17/(1+G$4)^DCF!F$18+DCF!G$16*DCF!G$17/(1+G$4)^DCF!G$18+DCF!H$16*DCF!H$17/(1+G$4)^DCF!H$18+DCF!I$16*DCF!I$17/(1+G$4)^DCF!I$18+DCF!J$16*DCF!J$17/(1+G$4)^DCF!J$18+DCF!K$16*DCF!K$17/(1+G$4)^DCF!K$18+DCF!L$16*DCF!L$17/(1+G$4)^DCF!L$18+DCF!M$16*DCF!M$17/(1+G$4)^DCF!M$18+DCF!$M$16*(1+$B7)/(G$4-$B7)/(1+G$4)^DCF!$M$18+DCF!$C$31-DCF!$C$32)/DCF!$C$34</f>
        <v/>
      </c>
      <c r="H7" s="69">
        <f>(DCF!D$16*DCF!D$17/(1+H$4)^DCF!D$18+DCF!E$16*DCF!E$17/(1+H$4)^DCF!E$18+DCF!F$16*DCF!F$17/(1+H$4)^DCF!F$18+DCF!G$16*DCF!G$17/(1+H$4)^DCF!G$18+DCF!H$16*DCF!H$17/(1+H$4)^DCF!H$18+DCF!I$16*DCF!I$17/(1+H$4)^DCF!I$18+DCF!J$16*DCF!J$17/(1+H$4)^DCF!J$18+DCF!K$16*DCF!K$17/(1+H$4)^DCF!K$18+DCF!L$16*DCF!L$17/(1+H$4)^DCF!L$18+DCF!M$16*DCF!M$17/(1+H$4)^DCF!M$18+DCF!$M$16*(1+$B7)/(H$4-$B7)/(1+H$4)^DCF!$M$18+DCF!$C$31-DCF!$C$32)/DCF!$C$34</f>
        <v/>
      </c>
      <c r="I7" s="69">
        <f>(DCF!D$16*DCF!D$17/(1+I$4)^DCF!D$18+DCF!E$16*DCF!E$17/(1+I$4)^DCF!E$18+DCF!F$16*DCF!F$17/(1+I$4)^DCF!F$18+DCF!G$16*DCF!G$17/(1+I$4)^DCF!G$18+DCF!H$16*DCF!H$17/(1+I$4)^DCF!H$18+DCF!I$16*DCF!I$17/(1+I$4)^DCF!I$18+DCF!J$16*DCF!J$17/(1+I$4)^DCF!J$18+DCF!K$16*DCF!K$17/(1+I$4)^DCF!K$18+DCF!L$16*DCF!L$17/(1+I$4)^DCF!L$18+DCF!M$16*DCF!M$17/(1+I$4)^DCF!M$18+DCF!$M$16*(1+$B7)/(I$4-$B7)/(1+I$4)^DCF!$M$18+DCF!$C$31-DCF!$C$32)/DCF!$C$34</f>
        <v/>
      </c>
    </row>
    <row r="8">
      <c r="B8" s="68">
        <f>Assumptions!$C$50+(1)*Assumptions!$C$55</f>
        <v/>
      </c>
      <c r="C8" s="69">
        <f>(DCF!D$16*DCF!D$17/(1+C$4)^DCF!D$18+DCF!E$16*DCF!E$17/(1+C$4)^DCF!E$18+DCF!F$16*DCF!F$17/(1+C$4)^DCF!F$18+DCF!G$16*DCF!G$17/(1+C$4)^DCF!G$18+DCF!H$16*DCF!H$17/(1+C$4)^DCF!H$18+DCF!I$16*DCF!I$17/(1+C$4)^DCF!I$18+DCF!J$16*DCF!J$17/(1+C$4)^DCF!J$18+DCF!K$16*DCF!K$17/(1+C$4)^DCF!K$18+DCF!L$16*DCF!L$17/(1+C$4)^DCF!L$18+DCF!M$16*DCF!M$17/(1+C$4)^DCF!M$18+DCF!$M$16*(1+$B8)/(C$4-$B8)/(1+C$4)^DCF!$M$18+DCF!$C$31-DCF!$C$32)/DCF!$C$34</f>
        <v/>
      </c>
      <c r="D8" s="69">
        <f>(DCF!D$16*DCF!D$17/(1+D$4)^DCF!D$18+DCF!E$16*DCF!E$17/(1+D$4)^DCF!E$18+DCF!F$16*DCF!F$17/(1+D$4)^DCF!F$18+DCF!G$16*DCF!G$17/(1+D$4)^DCF!G$18+DCF!H$16*DCF!H$17/(1+D$4)^DCF!H$18+DCF!I$16*DCF!I$17/(1+D$4)^DCF!I$18+DCF!J$16*DCF!J$17/(1+D$4)^DCF!J$18+DCF!K$16*DCF!K$17/(1+D$4)^DCF!K$18+DCF!L$16*DCF!L$17/(1+D$4)^DCF!L$18+DCF!M$16*DCF!M$17/(1+D$4)^DCF!M$18+DCF!$M$16*(1+$B8)/(D$4-$B8)/(1+D$4)^DCF!$M$18+DCF!$C$31-DCF!$C$32)/DCF!$C$34</f>
        <v/>
      </c>
      <c r="E8" s="69">
        <f>(DCF!D$16*DCF!D$17/(1+E$4)^DCF!D$18+DCF!E$16*DCF!E$17/(1+E$4)^DCF!E$18+DCF!F$16*DCF!F$17/(1+E$4)^DCF!F$18+DCF!G$16*DCF!G$17/(1+E$4)^DCF!G$18+DCF!H$16*DCF!H$17/(1+E$4)^DCF!H$18+DCF!I$16*DCF!I$17/(1+E$4)^DCF!I$18+DCF!J$16*DCF!J$17/(1+E$4)^DCF!J$18+DCF!K$16*DCF!K$17/(1+E$4)^DCF!K$18+DCF!L$16*DCF!L$17/(1+E$4)^DCF!L$18+DCF!M$16*DCF!M$17/(1+E$4)^DCF!M$18+DCF!$M$16*(1+$B8)/(E$4-$B8)/(1+E$4)^DCF!$M$18+DCF!$C$31-DCF!$C$32)/DCF!$C$34</f>
        <v/>
      </c>
      <c r="F8" s="69">
        <f>(DCF!D$16*DCF!D$17/(1+F$4)^DCF!D$18+DCF!E$16*DCF!E$17/(1+F$4)^DCF!E$18+DCF!F$16*DCF!F$17/(1+F$4)^DCF!F$18+DCF!G$16*DCF!G$17/(1+F$4)^DCF!G$18+DCF!H$16*DCF!H$17/(1+F$4)^DCF!H$18+DCF!I$16*DCF!I$17/(1+F$4)^DCF!I$18+DCF!J$16*DCF!J$17/(1+F$4)^DCF!J$18+DCF!K$16*DCF!K$17/(1+F$4)^DCF!K$18+DCF!L$16*DCF!L$17/(1+F$4)^DCF!L$18+DCF!M$16*DCF!M$17/(1+F$4)^DCF!M$18+DCF!$M$16*(1+$B8)/(F$4-$B8)/(1+F$4)^DCF!$M$18+DCF!$C$31-DCF!$C$32)/DCF!$C$34</f>
        <v/>
      </c>
      <c r="G8" s="69">
        <f>(DCF!D$16*DCF!D$17/(1+G$4)^DCF!D$18+DCF!E$16*DCF!E$17/(1+G$4)^DCF!E$18+DCF!F$16*DCF!F$17/(1+G$4)^DCF!F$18+DCF!G$16*DCF!G$17/(1+G$4)^DCF!G$18+DCF!H$16*DCF!H$17/(1+G$4)^DCF!H$18+DCF!I$16*DCF!I$17/(1+G$4)^DCF!I$18+DCF!J$16*DCF!J$17/(1+G$4)^DCF!J$18+DCF!K$16*DCF!K$17/(1+G$4)^DCF!K$18+DCF!L$16*DCF!L$17/(1+G$4)^DCF!L$18+DCF!M$16*DCF!M$17/(1+G$4)^DCF!M$18+DCF!$M$16*(1+$B8)/(G$4-$B8)/(1+G$4)^DCF!$M$18+DCF!$C$31-DCF!$C$32)/DCF!$C$34</f>
        <v/>
      </c>
      <c r="H8" s="69">
        <f>(DCF!D$16*DCF!D$17/(1+H$4)^DCF!D$18+DCF!E$16*DCF!E$17/(1+H$4)^DCF!E$18+DCF!F$16*DCF!F$17/(1+H$4)^DCF!F$18+DCF!G$16*DCF!G$17/(1+H$4)^DCF!G$18+DCF!H$16*DCF!H$17/(1+H$4)^DCF!H$18+DCF!I$16*DCF!I$17/(1+H$4)^DCF!I$18+DCF!J$16*DCF!J$17/(1+H$4)^DCF!J$18+DCF!K$16*DCF!K$17/(1+H$4)^DCF!K$18+DCF!L$16*DCF!L$17/(1+H$4)^DCF!L$18+DCF!M$16*DCF!M$17/(1+H$4)^DCF!M$18+DCF!$M$16*(1+$B8)/(H$4-$B8)/(1+H$4)^DCF!$M$18+DCF!$C$31-DCF!$C$32)/DCF!$C$34</f>
        <v/>
      </c>
      <c r="I8" s="69">
        <f>(DCF!D$16*DCF!D$17/(1+I$4)^DCF!D$18+DCF!E$16*DCF!E$17/(1+I$4)^DCF!E$18+DCF!F$16*DCF!F$17/(1+I$4)^DCF!F$18+DCF!G$16*DCF!G$17/(1+I$4)^DCF!G$18+DCF!H$16*DCF!H$17/(1+I$4)^DCF!H$18+DCF!I$16*DCF!I$17/(1+I$4)^DCF!I$18+DCF!J$16*DCF!J$17/(1+I$4)^DCF!J$18+DCF!K$16*DCF!K$17/(1+I$4)^DCF!K$18+DCF!L$16*DCF!L$17/(1+I$4)^DCF!L$18+DCF!M$16*DCF!M$17/(1+I$4)^DCF!M$18+DCF!$M$16*(1+$B8)/(I$4-$B8)/(1+I$4)^DCF!$M$18+DCF!$C$31-DCF!$C$32)/DCF!$C$34</f>
        <v/>
      </c>
    </row>
    <row r="9">
      <c r="B9" s="68">
        <f>Assumptions!$C$50+(2)*Assumptions!$C$55</f>
        <v/>
      </c>
      <c r="C9" s="69">
        <f>(DCF!D$16*DCF!D$17/(1+C$4)^DCF!D$18+DCF!E$16*DCF!E$17/(1+C$4)^DCF!E$18+DCF!F$16*DCF!F$17/(1+C$4)^DCF!F$18+DCF!G$16*DCF!G$17/(1+C$4)^DCF!G$18+DCF!H$16*DCF!H$17/(1+C$4)^DCF!H$18+DCF!I$16*DCF!I$17/(1+C$4)^DCF!I$18+DCF!J$16*DCF!J$17/(1+C$4)^DCF!J$18+DCF!K$16*DCF!K$17/(1+C$4)^DCF!K$18+DCF!L$16*DCF!L$17/(1+C$4)^DCF!L$18+DCF!M$16*DCF!M$17/(1+C$4)^DCF!M$18+DCF!$M$16*(1+$B9)/(C$4-$B9)/(1+C$4)^DCF!$M$18+DCF!$C$31-DCF!$C$32)/DCF!$C$34</f>
        <v/>
      </c>
      <c r="D9" s="69">
        <f>(DCF!D$16*DCF!D$17/(1+D$4)^DCF!D$18+DCF!E$16*DCF!E$17/(1+D$4)^DCF!E$18+DCF!F$16*DCF!F$17/(1+D$4)^DCF!F$18+DCF!G$16*DCF!G$17/(1+D$4)^DCF!G$18+DCF!H$16*DCF!H$17/(1+D$4)^DCF!H$18+DCF!I$16*DCF!I$17/(1+D$4)^DCF!I$18+DCF!J$16*DCF!J$17/(1+D$4)^DCF!J$18+DCF!K$16*DCF!K$17/(1+D$4)^DCF!K$18+DCF!L$16*DCF!L$17/(1+D$4)^DCF!L$18+DCF!M$16*DCF!M$17/(1+D$4)^DCF!M$18+DCF!$M$16*(1+$B9)/(D$4-$B9)/(1+D$4)^DCF!$M$18+DCF!$C$31-DCF!$C$32)/DCF!$C$34</f>
        <v/>
      </c>
      <c r="E9" s="69">
        <f>(DCF!D$16*DCF!D$17/(1+E$4)^DCF!D$18+DCF!E$16*DCF!E$17/(1+E$4)^DCF!E$18+DCF!F$16*DCF!F$17/(1+E$4)^DCF!F$18+DCF!G$16*DCF!G$17/(1+E$4)^DCF!G$18+DCF!H$16*DCF!H$17/(1+E$4)^DCF!H$18+DCF!I$16*DCF!I$17/(1+E$4)^DCF!I$18+DCF!J$16*DCF!J$17/(1+E$4)^DCF!J$18+DCF!K$16*DCF!K$17/(1+E$4)^DCF!K$18+DCF!L$16*DCF!L$17/(1+E$4)^DCF!L$18+DCF!M$16*DCF!M$17/(1+E$4)^DCF!M$18+DCF!$M$16*(1+$B9)/(E$4-$B9)/(1+E$4)^DCF!$M$18+DCF!$C$31-DCF!$C$32)/DCF!$C$34</f>
        <v/>
      </c>
      <c r="F9" s="69">
        <f>(DCF!D$16*DCF!D$17/(1+F$4)^DCF!D$18+DCF!E$16*DCF!E$17/(1+F$4)^DCF!E$18+DCF!F$16*DCF!F$17/(1+F$4)^DCF!F$18+DCF!G$16*DCF!G$17/(1+F$4)^DCF!G$18+DCF!H$16*DCF!H$17/(1+F$4)^DCF!H$18+DCF!I$16*DCF!I$17/(1+F$4)^DCF!I$18+DCF!J$16*DCF!J$17/(1+F$4)^DCF!J$18+DCF!K$16*DCF!K$17/(1+F$4)^DCF!K$18+DCF!L$16*DCF!L$17/(1+F$4)^DCF!L$18+DCF!M$16*DCF!M$17/(1+F$4)^DCF!M$18+DCF!$M$16*(1+$B9)/(F$4-$B9)/(1+F$4)^DCF!$M$18+DCF!$C$31-DCF!$C$32)/DCF!$C$34</f>
        <v/>
      </c>
      <c r="G9" s="69">
        <f>(DCF!D$16*DCF!D$17/(1+G$4)^DCF!D$18+DCF!E$16*DCF!E$17/(1+G$4)^DCF!E$18+DCF!F$16*DCF!F$17/(1+G$4)^DCF!F$18+DCF!G$16*DCF!G$17/(1+G$4)^DCF!G$18+DCF!H$16*DCF!H$17/(1+G$4)^DCF!H$18+DCF!I$16*DCF!I$17/(1+G$4)^DCF!I$18+DCF!J$16*DCF!J$17/(1+G$4)^DCF!J$18+DCF!K$16*DCF!K$17/(1+G$4)^DCF!K$18+DCF!L$16*DCF!L$17/(1+G$4)^DCF!L$18+DCF!M$16*DCF!M$17/(1+G$4)^DCF!M$18+DCF!$M$16*(1+$B9)/(G$4-$B9)/(1+G$4)^DCF!$M$18+DCF!$C$31-DCF!$C$32)/DCF!$C$34</f>
        <v/>
      </c>
      <c r="H9" s="69">
        <f>(DCF!D$16*DCF!D$17/(1+H$4)^DCF!D$18+DCF!E$16*DCF!E$17/(1+H$4)^DCF!E$18+DCF!F$16*DCF!F$17/(1+H$4)^DCF!F$18+DCF!G$16*DCF!G$17/(1+H$4)^DCF!G$18+DCF!H$16*DCF!H$17/(1+H$4)^DCF!H$18+DCF!I$16*DCF!I$17/(1+H$4)^DCF!I$18+DCF!J$16*DCF!J$17/(1+H$4)^DCF!J$18+DCF!K$16*DCF!K$17/(1+H$4)^DCF!K$18+DCF!L$16*DCF!L$17/(1+H$4)^DCF!L$18+DCF!M$16*DCF!M$17/(1+H$4)^DCF!M$18+DCF!$M$16*(1+$B9)/(H$4-$B9)/(1+H$4)^DCF!$M$18+DCF!$C$31-DCF!$C$32)/DCF!$C$34</f>
        <v/>
      </c>
      <c r="I9" s="69">
        <f>(DCF!D$16*DCF!D$17/(1+I$4)^DCF!D$18+DCF!E$16*DCF!E$17/(1+I$4)^DCF!E$18+DCF!F$16*DCF!F$17/(1+I$4)^DCF!F$18+DCF!G$16*DCF!G$17/(1+I$4)^DCF!G$18+DCF!H$16*DCF!H$17/(1+I$4)^DCF!H$18+DCF!I$16*DCF!I$17/(1+I$4)^DCF!I$18+DCF!J$16*DCF!J$17/(1+I$4)^DCF!J$18+DCF!K$16*DCF!K$17/(1+I$4)^DCF!K$18+DCF!L$16*DCF!L$17/(1+I$4)^DCF!L$18+DCF!M$16*DCF!M$17/(1+I$4)^DCF!M$18+DCF!$M$16*(1+$B9)/(I$4-$B9)/(1+I$4)^DCF!$M$18+DCF!$C$31-DCF!$C$32)/DCF!$C$34</f>
        <v/>
      </c>
    </row>
    <row r="10">
      <c r="B10" s="55" t="inlineStr">
        <is>
          <t>Centre = base case (DCF!C35).</t>
        </is>
      </c>
    </row>
    <row r="12">
      <c r="B12" s="21" t="inlineStr">
        <is>
          <t>TABLE 2 — Bear / Base / Bull  (full re-projection) → probability-weighted Price Target</t>
        </is>
      </c>
    </row>
    <row r="13">
      <c r="B13" s="27" t="inlineStr">
        <is>
          <t>Metric</t>
        </is>
      </c>
      <c r="C13" s="47" t="inlineStr">
        <is>
          <t>Bear</t>
        </is>
      </c>
      <c r="E13" s="29" t="inlineStr">
        <is>
          <t>Base</t>
        </is>
      </c>
      <c r="G13" s="48" t="inlineStr">
        <is>
          <t>Bull</t>
        </is>
      </c>
    </row>
    <row r="14">
      <c r="B14" s="50" t="inlineStr">
        <is>
          <t>Trough revenue (FY2029E–FY2031E min)</t>
        </is>
      </c>
      <c r="C14" s="71">
        <f>MIN(F44:H44)</f>
        <v/>
      </c>
      <c r="E14" s="71">
        <f>MIN(F58:H58)</f>
        <v/>
      </c>
      <c r="G14" s="71">
        <f>MIN(F72:H72)</f>
        <v/>
      </c>
    </row>
    <row r="15">
      <c r="B15" s="50" t="inlineStr">
        <is>
          <t>Trough operating margin</t>
        </is>
      </c>
      <c r="C15" s="72">
        <f>MIN(F47/F44,G47/G44,H47/H44)</f>
        <v/>
      </c>
      <c r="E15" s="72">
        <f>MIN(F61/F58,G61/G58,H61/H58)</f>
        <v/>
      </c>
      <c r="G15" s="72">
        <f>MIN(F75/F72,G75/G72,H75/H72)</f>
        <v/>
      </c>
    </row>
    <row r="16">
      <c r="B16" s="50" t="inlineStr">
        <is>
          <t>FY2036E revenue</t>
        </is>
      </c>
      <c r="C16" s="71">
        <f>M44</f>
        <v/>
      </c>
      <c r="E16" s="71">
        <f>M58</f>
        <v/>
      </c>
      <c r="G16" s="71">
        <f>M72</f>
        <v/>
      </c>
    </row>
    <row r="17">
      <c r="B17" s="50" t="inlineStr">
        <is>
          <t>WACC / terminal g</t>
        </is>
      </c>
      <c r="C17" s="73">
        <f>TEXT($N$53,"0.0%")&amp;" / "&amp;TEXT($N$54,"0.0%")</f>
        <v/>
      </c>
      <c r="E17" s="73">
        <f>TEXT($N$67,"0.0%")&amp;" / "&amp;TEXT($N$68,"0.0%")</f>
        <v/>
      </c>
      <c r="G17" s="73">
        <f>TEXT($N$81,"0.0%")&amp;" / "&amp;TEXT($N$82,"0.0%")</f>
        <v/>
      </c>
    </row>
    <row r="18">
      <c r="B18" s="35" t="inlineStr">
        <is>
          <t>Value per share</t>
        </is>
      </c>
      <c r="C18" s="74">
        <f>C55</f>
        <v/>
      </c>
      <c r="E18" s="74">
        <f>C69</f>
        <v/>
      </c>
      <c r="G18" s="74">
        <f>C83</f>
        <v/>
      </c>
    </row>
    <row r="19">
      <c r="B19" s="50" t="inlineStr">
        <is>
          <t>vs. current price</t>
        </is>
      </c>
      <c r="C19" s="72">
        <f>C55/Assumptions!$C$37-1</f>
        <v/>
      </c>
      <c r="E19" s="72">
        <f>C69/Assumptions!$C$37-1</f>
        <v/>
      </c>
      <c r="G19" s="72">
        <f>C83/Assumptions!$C$37-1</f>
        <v/>
      </c>
    </row>
    <row r="20">
      <c r="B20" s="50" t="inlineStr">
        <is>
          <t>Probability</t>
        </is>
      </c>
      <c r="C20" s="72">
        <f>Assumptions!C64</f>
        <v/>
      </c>
      <c r="E20" s="72">
        <f>Assumptions!D64</f>
        <v/>
      </c>
      <c r="G20" s="72">
        <f>Assumptions!E64</f>
        <v/>
      </c>
    </row>
    <row r="22">
      <c r="B22" s="35" t="inlineStr">
        <is>
          <t>★ Probability-weighted value per share</t>
        </is>
      </c>
      <c r="C22" s="75">
        <f>C18*C20+E18*E20+G18*G20</f>
        <v/>
      </c>
    </row>
    <row r="23">
      <c r="B23" s="55" t="inlineStr">
        <is>
          <t>Check: Base − DCF!C35 (must be 0)</t>
        </is>
      </c>
      <c r="C23" s="76">
        <f>ROUND(C69-DCF!C35,6)</f>
        <v/>
      </c>
    </row>
    <row r="25">
      <c r="B25" s="21" t="inlineStr">
        <is>
          <t>TABLE 3 — What the current price implies  (P/E on our EPS proxy)</t>
        </is>
      </c>
    </row>
    <row r="26">
      <c r="B26" s="16" t="inlineStr">
        <is>
          <t>Year</t>
        </is>
      </c>
      <c r="C26" s="77" t="inlineStr">
        <is>
          <t>EPS proxy</t>
        </is>
      </c>
      <c r="D26" s="77" t="inlineStr">
        <is>
          <t>P/E at current price</t>
        </is>
      </c>
      <c r="E26" s="77" t="inlineStr">
        <is>
          <t>Note</t>
        </is>
      </c>
    </row>
    <row r="27">
      <c r="B27" s="50" t="inlineStr">
        <is>
          <t>FY2026A (reported non-GAAP EPS)</t>
        </is>
      </c>
      <c r="C27" s="78">
        <f>Assumptions!$C$27</f>
        <v/>
      </c>
      <c r="D27" s="79">
        <f>Assumptions!$C$37/C27</f>
        <v/>
      </c>
      <c r="E27" s="55" t="inlineStr">
        <is>
          <t>Reported</t>
        </is>
      </c>
    </row>
    <row r="28">
      <c r="B28" s="50" t="inlineStr">
        <is>
          <t>FY2027E (boom)</t>
        </is>
      </c>
      <c r="C28" s="78">
        <f>'Operating Model'!E15</f>
        <v/>
      </c>
      <c r="D28" s="79">
        <f>Assumptions!$C$37/C28</f>
        <v/>
      </c>
      <c r="E28" s="55" t="inlineStr">
        <is>
          <t>Peak pricing</t>
        </is>
      </c>
    </row>
    <row r="29">
      <c r="B29" s="50" t="inlineStr">
        <is>
          <t>FY2028E (peak)</t>
        </is>
      </c>
      <c r="C29" s="78">
        <f>'Operating Model'!F15</f>
        <v/>
      </c>
      <c r="D29" s="79">
        <f>Assumptions!$C$37/C29</f>
        <v/>
      </c>
      <c r="E29" s="55" t="inlineStr">
        <is>
          <t>Tightest supply per mgmt</t>
        </is>
      </c>
    </row>
    <row r="30">
      <c r="B30" s="50" t="inlineStr">
        <is>
          <t>FY2030E (bust)</t>
        </is>
      </c>
      <c r="C30" s="78">
        <f>'Operating Model'!H15</f>
        <v/>
      </c>
      <c r="D30" s="79">
        <f>Assumptions!$C$37/C30</f>
        <v/>
      </c>
      <c r="E30" s="55" t="inlineStr">
        <is>
          <t>Our modeled downturn</t>
        </is>
      </c>
    </row>
    <row r="31">
      <c r="B31" s="50" t="inlineStr">
        <is>
          <t>FY2031E (trough)</t>
        </is>
      </c>
      <c r="C31" s="78">
        <f>'Operating Model'!I15</f>
        <v/>
      </c>
      <c r="D31" s="79">
        <f>Assumptions!$C$37/C31</f>
        <v/>
      </c>
      <c r="E31" s="55" t="inlineStr">
        <is>
          <t>Pricing bottoms</t>
        </is>
      </c>
    </row>
    <row r="32">
      <c r="B32" s="50" t="inlineStr">
        <is>
          <t>FY2033E (new mid-cycle)</t>
        </is>
      </c>
      <c r="C32" s="78">
        <f>'Operating Model'!K15</f>
        <v/>
      </c>
      <c r="D32" s="79">
        <f>Assumptions!$C$37/C32</f>
        <v/>
      </c>
      <c r="E32" s="55" t="inlineStr"/>
    </row>
    <row r="34">
      <c r="B34" s="35" t="inlineStr">
        <is>
          <t>Through-cycle: average FY2027E–FY2036E EPS proxy</t>
        </is>
      </c>
      <c r="C34" s="80">
        <f>AVERAGE('Operating Model'!E15:'Operating Model'!N15)</f>
        <v/>
      </c>
      <c r="D34" s="81">
        <f>Assumptions!$C$37/C34</f>
        <v/>
      </c>
    </row>
    <row r="35">
      <c r="B35" s="55" t="inlineStr">
        <is>
          <t>EPS proxy = EBIT × (1 − tax) / diluted shares (excludes interest income on the ~$68B net cash).</t>
        </is>
      </c>
    </row>
    <row r="40">
      <c r="B40" s="10" t="inlineStr">
        <is>
          <t>SCENARIO ENGINE  (supporting calculations)</t>
        </is>
      </c>
    </row>
    <row r="41">
      <c r="B41" s="27" t="inlineStr"/>
      <c r="C41" s="28" t="inlineStr">
        <is>
          <t>FY2026A</t>
        </is>
      </c>
      <c r="D41" s="28" t="inlineStr">
        <is>
          <t>FY2027E</t>
        </is>
      </c>
      <c r="E41" s="28" t="inlineStr">
        <is>
          <t>FY2028E</t>
        </is>
      </c>
      <c r="F41" s="28" t="inlineStr">
        <is>
          <t>FY2029E</t>
        </is>
      </c>
      <c r="G41" s="28" t="inlineStr">
        <is>
          <t>FY2030E</t>
        </is>
      </c>
      <c r="H41" s="28" t="inlineStr">
        <is>
          <t>FY2031E</t>
        </is>
      </c>
      <c r="I41" s="28" t="inlineStr">
        <is>
          <t>FY2032E</t>
        </is>
      </c>
      <c r="J41" s="28" t="inlineStr">
        <is>
          <t>FY2033E</t>
        </is>
      </c>
      <c r="K41" s="28" t="inlineStr">
        <is>
          <t>FY2034E</t>
        </is>
      </c>
      <c r="L41" s="28" t="inlineStr">
        <is>
          <t>FY2035E</t>
        </is>
      </c>
      <c r="M41" s="28" t="inlineStr">
        <is>
          <t>FY2036E</t>
        </is>
      </c>
      <c r="N41" s="28" t="inlineStr">
        <is>
          <t>WACC / g</t>
        </is>
      </c>
    </row>
    <row r="42">
      <c r="B42" s="82" t="inlineStr">
        <is>
          <t>Bear · DRAM</t>
        </is>
      </c>
      <c r="C42" s="51">
        <f>Assumptions!$D$12</f>
        <v/>
      </c>
      <c r="D42" s="34">
        <f>C42*(1+Assumptions!E$5)*(1+Assumptions!E$6)</f>
        <v/>
      </c>
      <c r="E42" s="34">
        <f>D42*(1+Assumptions!F$5)*(1+Assumptions!F$6)</f>
        <v/>
      </c>
      <c r="F42" s="34">
        <f>E42*(1+Assumptions!G$5)*(1+Assumptions!G$6+Assumptions!$C$59)</f>
        <v/>
      </c>
      <c r="G42" s="34">
        <f>F42*(1+Assumptions!H$5)*(1+Assumptions!H$6+Assumptions!$C$59)</f>
        <v/>
      </c>
      <c r="H42" s="34">
        <f>G42*(1+Assumptions!I$5)*(1+Assumptions!I$6+Assumptions!$C$59)</f>
        <v/>
      </c>
      <c r="I42" s="34">
        <f>H42*(1+Assumptions!J$5)*(1+Assumptions!J$6)</f>
        <v/>
      </c>
      <c r="J42" s="34">
        <f>I42*(1+Assumptions!K$5)*(1+Assumptions!K$6)</f>
        <v/>
      </c>
      <c r="K42" s="34">
        <f>J42*(1+Assumptions!L$5)*(1+Assumptions!L$6)</f>
        <v/>
      </c>
      <c r="L42" s="34">
        <f>K42*(1+Assumptions!M$5)*(1+Assumptions!M$6)</f>
        <v/>
      </c>
      <c r="M42" s="34">
        <f>L42*(1+Assumptions!N$5)*(1+Assumptions!N$6)</f>
        <v/>
      </c>
    </row>
    <row r="43">
      <c r="B43" s="83" t="inlineStr">
        <is>
          <t xml:space="preserve">   NAND</t>
        </is>
      </c>
      <c r="C43" s="51">
        <f>Assumptions!$D$13</f>
        <v/>
      </c>
      <c r="D43" s="34">
        <f>C43*(1+Assumptions!E$7)*(1+Assumptions!E$8)</f>
        <v/>
      </c>
      <c r="E43" s="34">
        <f>D43*(1+Assumptions!F$7)*(1+Assumptions!F$8)</f>
        <v/>
      </c>
      <c r="F43" s="34">
        <f>E43*(1+Assumptions!G$7)*(1+Assumptions!G$8+Assumptions!$C$59)</f>
        <v/>
      </c>
      <c r="G43" s="34">
        <f>F43*(1+Assumptions!H$7)*(1+Assumptions!H$8+Assumptions!$C$59)</f>
        <v/>
      </c>
      <c r="H43" s="34">
        <f>G43*(1+Assumptions!I$7)*(1+Assumptions!I$8+Assumptions!$C$59)</f>
        <v/>
      </c>
      <c r="I43" s="34">
        <f>H43*(1+Assumptions!J$7)*(1+Assumptions!J$8)</f>
        <v/>
      </c>
      <c r="J43" s="34">
        <f>I43*(1+Assumptions!K$7)*(1+Assumptions!K$8)</f>
        <v/>
      </c>
      <c r="K43" s="34">
        <f>J43*(1+Assumptions!L$7)*(1+Assumptions!L$8)</f>
        <v/>
      </c>
      <c r="L43" s="34">
        <f>K43*(1+Assumptions!M$7)*(1+Assumptions!M$8)</f>
        <v/>
      </c>
      <c r="M43" s="34">
        <f>L43*(1+Assumptions!N$7)*(1+Assumptions!N$8)</f>
        <v/>
      </c>
    </row>
    <row r="44">
      <c r="B44" s="83" t="inlineStr">
        <is>
          <t xml:space="preserve">   Total revenue</t>
        </is>
      </c>
      <c r="C44" s="34">
        <f>C42+C43</f>
        <v/>
      </c>
      <c r="D44" s="34">
        <f>D42+D43</f>
        <v/>
      </c>
      <c r="E44" s="34">
        <f>E42+E43</f>
        <v/>
      </c>
      <c r="F44" s="34">
        <f>F42+F43</f>
        <v/>
      </c>
      <c r="G44" s="34">
        <f>G42+G43</f>
        <v/>
      </c>
      <c r="H44" s="34">
        <f>H42+H43</f>
        <v/>
      </c>
      <c r="I44" s="34">
        <f>I42+I43</f>
        <v/>
      </c>
      <c r="J44" s="34">
        <f>J42+J43</f>
        <v/>
      </c>
      <c r="K44" s="34">
        <f>K42+K43</f>
        <v/>
      </c>
      <c r="L44" s="34">
        <f>L42+L43</f>
        <v/>
      </c>
      <c r="M44" s="34">
        <f>M42+M43</f>
        <v/>
      </c>
    </row>
    <row r="45">
      <c r="B45" s="83" t="inlineStr">
        <is>
          <t xml:space="preserve">   Gross profit</t>
        </is>
      </c>
      <c r="D45" s="34">
        <f>D44*(Assumptions!E$17)</f>
        <v/>
      </c>
      <c r="E45" s="34">
        <f>E44*(Assumptions!F$17)</f>
        <v/>
      </c>
      <c r="F45" s="34">
        <f>F44*(Assumptions!G$17+Assumptions!$C$60)</f>
        <v/>
      </c>
      <c r="G45" s="34">
        <f>G44*(Assumptions!H$17+Assumptions!$C$60)</f>
        <v/>
      </c>
      <c r="H45" s="34">
        <f>H44*(Assumptions!I$17+Assumptions!$C$60)</f>
        <v/>
      </c>
      <c r="I45" s="34">
        <f>I44*(Assumptions!J$17+Assumptions!$C$60)</f>
        <v/>
      </c>
      <c r="J45" s="34">
        <f>J44*(Assumptions!K$17+Assumptions!$C$60)</f>
        <v/>
      </c>
      <c r="K45" s="34">
        <f>K44*(Assumptions!L$17+Assumptions!$C$60)</f>
        <v/>
      </c>
      <c r="L45" s="34">
        <f>L44*(Assumptions!M$17+Assumptions!$C$60)</f>
        <v/>
      </c>
      <c r="M45" s="34">
        <f>M44*(Assumptions!N$17+Assumptions!$C$60)</f>
        <v/>
      </c>
    </row>
    <row r="46">
      <c r="B46" s="83" t="inlineStr">
        <is>
          <t xml:space="preserve">   Opex</t>
        </is>
      </c>
      <c r="D46" s="34">
        <f>-Assumptions!E$18</f>
        <v/>
      </c>
      <c r="E46" s="34">
        <f>-Assumptions!F$18</f>
        <v/>
      </c>
      <c r="F46" s="34">
        <f>-Assumptions!G$18</f>
        <v/>
      </c>
      <c r="G46" s="34">
        <f>-Assumptions!H$18</f>
        <v/>
      </c>
      <c r="H46" s="34">
        <f>-Assumptions!I$18</f>
        <v/>
      </c>
      <c r="I46" s="34">
        <f>-Assumptions!J$18</f>
        <v/>
      </c>
      <c r="J46" s="34">
        <f>-Assumptions!K$18</f>
        <v/>
      </c>
      <c r="K46" s="34">
        <f>-Assumptions!L$18</f>
        <v/>
      </c>
      <c r="L46" s="34">
        <f>-Assumptions!M$18</f>
        <v/>
      </c>
      <c r="M46" s="34">
        <f>-Assumptions!N$18</f>
        <v/>
      </c>
    </row>
    <row r="47">
      <c r="B47" s="83" t="inlineStr">
        <is>
          <t xml:space="preserve">   EBIT</t>
        </is>
      </c>
      <c r="D47" s="34">
        <f>D45+D46</f>
        <v/>
      </c>
      <c r="E47" s="34">
        <f>E45+E46</f>
        <v/>
      </c>
      <c r="F47" s="34">
        <f>F45+F46</f>
        <v/>
      </c>
      <c r="G47" s="34">
        <f>G45+G46</f>
        <v/>
      </c>
      <c r="H47" s="34">
        <f>H45+H46</f>
        <v/>
      </c>
      <c r="I47" s="34">
        <f>I45+I46</f>
        <v/>
      </c>
      <c r="J47" s="34">
        <f>J45+J46</f>
        <v/>
      </c>
      <c r="K47" s="34">
        <f>K45+K46</f>
        <v/>
      </c>
      <c r="L47" s="34">
        <f>L45+L46</f>
        <v/>
      </c>
      <c r="M47" s="34">
        <f>M45+M46</f>
        <v/>
      </c>
    </row>
    <row r="48">
      <c r="B48" s="83" t="inlineStr">
        <is>
          <t xml:space="preserve">   NOPAT</t>
        </is>
      </c>
      <c r="D48" s="34">
        <f>D47-MAX(0,D47)*Assumptions!E$22</f>
        <v/>
      </c>
      <c r="E48" s="34">
        <f>E47-MAX(0,E47)*Assumptions!F$22</f>
        <v/>
      </c>
      <c r="F48" s="34">
        <f>F47-MAX(0,F47)*Assumptions!G$22</f>
        <v/>
      </c>
      <c r="G48" s="34">
        <f>G47-MAX(0,G47)*Assumptions!H$22</f>
        <v/>
      </c>
      <c r="H48" s="34">
        <f>H47-MAX(0,H47)*Assumptions!I$22</f>
        <v/>
      </c>
      <c r="I48" s="34">
        <f>I47-MAX(0,I47)*Assumptions!J$22</f>
        <v/>
      </c>
      <c r="J48" s="34">
        <f>J47-MAX(0,J47)*Assumptions!K$22</f>
        <v/>
      </c>
      <c r="K48" s="34">
        <f>K47-MAX(0,K47)*Assumptions!L$22</f>
        <v/>
      </c>
      <c r="L48" s="34">
        <f>L47-MAX(0,L47)*Assumptions!M$22</f>
        <v/>
      </c>
      <c r="M48" s="34">
        <f>M47-MAX(0,M47)*Assumptions!N$22</f>
        <v/>
      </c>
    </row>
    <row r="49">
      <c r="B49" s="83" t="inlineStr">
        <is>
          <t xml:space="preserve">   D&amp;A</t>
        </is>
      </c>
      <c r="D49" s="34">
        <f>D44*Assumptions!E$19</f>
        <v/>
      </c>
      <c r="E49" s="34">
        <f>E44*Assumptions!F$19</f>
        <v/>
      </c>
      <c r="F49" s="34">
        <f>F44*Assumptions!G$19</f>
        <v/>
      </c>
      <c r="G49" s="34">
        <f>G44*Assumptions!H$19</f>
        <v/>
      </c>
      <c r="H49" s="34">
        <f>H44*Assumptions!I$19</f>
        <v/>
      </c>
      <c r="I49" s="34">
        <f>I44*Assumptions!J$19</f>
        <v/>
      </c>
      <c r="J49" s="34">
        <f>J44*Assumptions!K$19</f>
        <v/>
      </c>
      <c r="K49" s="34">
        <f>K44*Assumptions!L$19</f>
        <v/>
      </c>
      <c r="L49" s="34">
        <f>L44*Assumptions!M$19</f>
        <v/>
      </c>
      <c r="M49" s="34">
        <f>M44*Assumptions!N$19</f>
        <v/>
      </c>
    </row>
    <row r="50">
      <c r="B50" s="83" t="inlineStr">
        <is>
          <t xml:space="preserve">   Capex</t>
        </is>
      </c>
      <c r="D50" s="34">
        <f>-D44*(Assumptions!E$20)</f>
        <v/>
      </c>
      <c r="E50" s="34">
        <f>-E44*(Assumptions!F$20)</f>
        <v/>
      </c>
      <c r="F50" s="34">
        <f>-F44*(Assumptions!G$20+Assumptions!$C$61)</f>
        <v/>
      </c>
      <c r="G50" s="34">
        <f>-G44*(Assumptions!H$20+Assumptions!$C$61)</f>
        <v/>
      </c>
      <c r="H50" s="34">
        <f>-H44*(Assumptions!I$20+Assumptions!$C$61)</f>
        <v/>
      </c>
      <c r="I50" s="34">
        <f>-I44*(Assumptions!J$20+Assumptions!$C$61)</f>
        <v/>
      </c>
      <c r="J50" s="34">
        <f>-J44*(Assumptions!K$20+Assumptions!$C$61)</f>
        <v/>
      </c>
      <c r="K50" s="34">
        <f>-K44*(Assumptions!L$20+Assumptions!$C$61)</f>
        <v/>
      </c>
      <c r="L50" s="34">
        <f>-L44*(Assumptions!M$20+Assumptions!$C$61)</f>
        <v/>
      </c>
      <c r="M50" s="34">
        <f>-M44*(Assumptions!N$20+Assumptions!$C$61)</f>
        <v/>
      </c>
    </row>
    <row r="51">
      <c r="B51" s="83" t="inlineStr">
        <is>
          <t xml:space="preserve">   Δ working capital</t>
        </is>
      </c>
      <c r="D51" s="34">
        <f>-(D44-C44)*Assumptions!E$21</f>
        <v/>
      </c>
      <c r="E51" s="34">
        <f>-(E44-D44)*Assumptions!F$21</f>
        <v/>
      </c>
      <c r="F51" s="34">
        <f>-(F44-E44)*Assumptions!G$21</f>
        <v/>
      </c>
      <c r="G51" s="34">
        <f>-(G44-F44)*Assumptions!H$21</f>
        <v/>
      </c>
      <c r="H51" s="34">
        <f>-(H44-G44)*Assumptions!I$21</f>
        <v/>
      </c>
      <c r="I51" s="34">
        <f>-(I44-H44)*Assumptions!J$21</f>
        <v/>
      </c>
      <c r="J51" s="34">
        <f>-(J44-I44)*Assumptions!K$21</f>
        <v/>
      </c>
      <c r="K51" s="34">
        <f>-(K44-J44)*Assumptions!L$21</f>
        <v/>
      </c>
      <c r="L51" s="34">
        <f>-(L44-K44)*Assumptions!M$21</f>
        <v/>
      </c>
      <c r="M51" s="34">
        <f>-(M44-L44)*Assumptions!N$21</f>
        <v/>
      </c>
    </row>
    <row r="52">
      <c r="B52" s="83" t="inlineStr">
        <is>
          <t xml:space="preserve">   Unlevered FCF</t>
        </is>
      </c>
      <c r="D52" s="36">
        <f>D48+D49+D50+D51</f>
        <v/>
      </c>
      <c r="E52" s="36">
        <f>E48+E49+E50+E51</f>
        <v/>
      </c>
      <c r="F52" s="36">
        <f>F48+F49+F50+F51</f>
        <v/>
      </c>
      <c r="G52" s="36">
        <f>G48+G49+G50+G51</f>
        <v/>
      </c>
      <c r="H52" s="36">
        <f>H48+H49+H50+H51</f>
        <v/>
      </c>
      <c r="I52" s="36">
        <f>I48+I49+I50+I51</f>
        <v/>
      </c>
      <c r="J52" s="36">
        <f>J48+J49+J50+J51</f>
        <v/>
      </c>
      <c r="K52" s="36">
        <f>K48+K49+K50+K51</f>
        <v/>
      </c>
      <c r="L52" s="36">
        <f>L48+L49+L50+L51</f>
        <v/>
      </c>
      <c r="M52" s="36">
        <f>M48+M49+M50+M51</f>
        <v/>
      </c>
    </row>
    <row r="53">
      <c r="B53" s="83" t="inlineStr">
        <is>
          <t xml:space="preserve">   PV of FCF</t>
        </is>
      </c>
      <c r="D53" s="34">
        <f>D52*DCF!D$17/(1+$N$53)^DCF!D$18</f>
        <v/>
      </c>
      <c r="E53" s="34">
        <f>E52*DCF!E$17/(1+$N$53)^DCF!E$18</f>
        <v/>
      </c>
      <c r="F53" s="34">
        <f>F52*DCF!F$17/(1+$N$53)^DCF!F$18</f>
        <v/>
      </c>
      <c r="G53" s="34">
        <f>G52*DCF!G$17/(1+$N$53)^DCF!G$18</f>
        <v/>
      </c>
      <c r="H53" s="34">
        <f>H52*DCF!H$17/(1+$N$53)^DCF!H$18</f>
        <v/>
      </c>
      <c r="I53" s="34">
        <f>I52*DCF!I$17/(1+$N$53)^DCF!I$18</f>
        <v/>
      </c>
      <c r="J53" s="34">
        <f>J52*DCF!J$17/(1+$N$53)^DCF!J$18</f>
        <v/>
      </c>
      <c r="K53" s="34">
        <f>K52*DCF!K$17/(1+$N$53)^DCF!K$18</f>
        <v/>
      </c>
      <c r="L53" s="34">
        <f>L52*DCF!L$17/(1+$N$53)^DCF!L$18</f>
        <v/>
      </c>
      <c r="M53" s="34">
        <f>M52*DCF!M$17/(1+$N$53)^DCF!M$18</f>
        <v/>
      </c>
      <c r="N53" s="45">
        <f>DCF!$C$14+Assumptions!$C$62</f>
        <v/>
      </c>
    </row>
    <row r="54">
      <c r="N54" s="45">
        <f>Assumptions!$C$63</f>
        <v/>
      </c>
    </row>
    <row r="55">
      <c r="B55" s="82" t="inlineStr">
        <is>
          <t xml:space="preserve">   Bear value per share</t>
        </is>
      </c>
      <c r="C55" s="61">
        <f>(SUM(D53:M53)+M52*(1+$N$54)/($N$53-$N$54)/(1+$N$53)^DCF!$M$18+DCF!$C$31-DCF!$C$32)/DCF!$C$34</f>
        <v/>
      </c>
    </row>
    <row r="56">
      <c r="B56" s="82" t="inlineStr">
        <is>
          <t>Base · DRAM</t>
        </is>
      </c>
      <c r="C56" s="51">
        <f>Assumptions!$D$12</f>
        <v/>
      </c>
      <c r="D56" s="34">
        <f>C56*(1+Assumptions!E$5)*(1+Assumptions!E$6)</f>
        <v/>
      </c>
      <c r="E56" s="34">
        <f>D56*(1+Assumptions!F$5)*(1+Assumptions!F$6)</f>
        <v/>
      </c>
      <c r="F56" s="34">
        <f>E56*(1+Assumptions!G$5)*(1+Assumptions!G$6+Assumptions!$D$59)</f>
        <v/>
      </c>
      <c r="G56" s="34">
        <f>F56*(1+Assumptions!H$5)*(1+Assumptions!H$6+Assumptions!$D$59)</f>
        <v/>
      </c>
      <c r="H56" s="34">
        <f>G56*(1+Assumptions!I$5)*(1+Assumptions!I$6+Assumptions!$D$59)</f>
        <v/>
      </c>
      <c r="I56" s="34">
        <f>H56*(1+Assumptions!J$5)*(1+Assumptions!J$6)</f>
        <v/>
      </c>
      <c r="J56" s="34">
        <f>I56*(1+Assumptions!K$5)*(1+Assumptions!K$6)</f>
        <v/>
      </c>
      <c r="K56" s="34">
        <f>J56*(1+Assumptions!L$5)*(1+Assumptions!L$6)</f>
        <v/>
      </c>
      <c r="L56" s="34">
        <f>K56*(1+Assumptions!M$5)*(1+Assumptions!M$6)</f>
        <v/>
      </c>
      <c r="M56" s="34">
        <f>L56*(1+Assumptions!N$5)*(1+Assumptions!N$6)</f>
        <v/>
      </c>
    </row>
    <row r="57">
      <c r="B57" s="83" t="inlineStr">
        <is>
          <t xml:space="preserve">   NAND</t>
        </is>
      </c>
      <c r="C57" s="51">
        <f>Assumptions!$D$13</f>
        <v/>
      </c>
      <c r="D57" s="34">
        <f>C57*(1+Assumptions!E$7)*(1+Assumptions!E$8)</f>
        <v/>
      </c>
      <c r="E57" s="34">
        <f>D57*(1+Assumptions!F$7)*(1+Assumptions!F$8)</f>
        <v/>
      </c>
      <c r="F57" s="34">
        <f>E57*(1+Assumptions!G$7)*(1+Assumptions!G$8+Assumptions!$D$59)</f>
        <v/>
      </c>
      <c r="G57" s="34">
        <f>F57*(1+Assumptions!H$7)*(1+Assumptions!H$8+Assumptions!$D$59)</f>
        <v/>
      </c>
      <c r="H57" s="34">
        <f>G57*(1+Assumptions!I$7)*(1+Assumptions!I$8+Assumptions!$D$59)</f>
        <v/>
      </c>
      <c r="I57" s="34">
        <f>H57*(1+Assumptions!J$7)*(1+Assumptions!J$8)</f>
        <v/>
      </c>
      <c r="J57" s="34">
        <f>I57*(1+Assumptions!K$7)*(1+Assumptions!K$8)</f>
        <v/>
      </c>
      <c r="K57" s="34">
        <f>J57*(1+Assumptions!L$7)*(1+Assumptions!L$8)</f>
        <v/>
      </c>
      <c r="L57" s="34">
        <f>K57*(1+Assumptions!M$7)*(1+Assumptions!M$8)</f>
        <v/>
      </c>
      <c r="M57" s="34">
        <f>L57*(1+Assumptions!N$7)*(1+Assumptions!N$8)</f>
        <v/>
      </c>
    </row>
    <row r="58">
      <c r="B58" s="83" t="inlineStr">
        <is>
          <t xml:space="preserve">   Total revenue</t>
        </is>
      </c>
      <c r="C58" s="34">
        <f>C56+C57</f>
        <v/>
      </c>
      <c r="D58" s="34">
        <f>D56+D57</f>
        <v/>
      </c>
      <c r="E58" s="34">
        <f>E56+E57</f>
        <v/>
      </c>
      <c r="F58" s="34">
        <f>F56+F57</f>
        <v/>
      </c>
      <c r="G58" s="34">
        <f>G56+G57</f>
        <v/>
      </c>
      <c r="H58" s="34">
        <f>H56+H57</f>
        <v/>
      </c>
      <c r="I58" s="34">
        <f>I56+I57</f>
        <v/>
      </c>
      <c r="J58" s="34">
        <f>J56+J57</f>
        <v/>
      </c>
      <c r="K58" s="34">
        <f>K56+K57</f>
        <v/>
      </c>
      <c r="L58" s="34">
        <f>L56+L57</f>
        <v/>
      </c>
      <c r="M58" s="34">
        <f>M56+M57</f>
        <v/>
      </c>
    </row>
    <row r="59">
      <c r="B59" s="83" t="inlineStr">
        <is>
          <t xml:space="preserve">   Gross profit</t>
        </is>
      </c>
      <c r="D59" s="34">
        <f>D58*(Assumptions!E$17)</f>
        <v/>
      </c>
      <c r="E59" s="34">
        <f>E58*(Assumptions!F$17)</f>
        <v/>
      </c>
      <c r="F59" s="34">
        <f>F58*(Assumptions!G$17+Assumptions!$D$60)</f>
        <v/>
      </c>
      <c r="G59" s="34">
        <f>G58*(Assumptions!H$17+Assumptions!$D$60)</f>
        <v/>
      </c>
      <c r="H59" s="34">
        <f>H58*(Assumptions!I$17+Assumptions!$D$60)</f>
        <v/>
      </c>
      <c r="I59" s="34">
        <f>I58*(Assumptions!J$17+Assumptions!$D$60)</f>
        <v/>
      </c>
      <c r="J59" s="34">
        <f>J58*(Assumptions!K$17+Assumptions!$D$60)</f>
        <v/>
      </c>
      <c r="K59" s="34">
        <f>K58*(Assumptions!L$17+Assumptions!$D$60)</f>
        <v/>
      </c>
      <c r="L59" s="34">
        <f>L58*(Assumptions!M$17+Assumptions!$D$60)</f>
        <v/>
      </c>
      <c r="M59" s="34">
        <f>M58*(Assumptions!N$17+Assumptions!$D$60)</f>
        <v/>
      </c>
    </row>
    <row r="60">
      <c r="B60" s="83" t="inlineStr">
        <is>
          <t xml:space="preserve">   Opex</t>
        </is>
      </c>
      <c r="D60" s="34">
        <f>-Assumptions!E$18</f>
        <v/>
      </c>
      <c r="E60" s="34">
        <f>-Assumptions!F$18</f>
        <v/>
      </c>
      <c r="F60" s="34">
        <f>-Assumptions!G$18</f>
        <v/>
      </c>
      <c r="G60" s="34">
        <f>-Assumptions!H$18</f>
        <v/>
      </c>
      <c r="H60" s="34">
        <f>-Assumptions!I$18</f>
        <v/>
      </c>
      <c r="I60" s="34">
        <f>-Assumptions!J$18</f>
        <v/>
      </c>
      <c r="J60" s="34">
        <f>-Assumptions!K$18</f>
        <v/>
      </c>
      <c r="K60" s="34">
        <f>-Assumptions!L$18</f>
        <v/>
      </c>
      <c r="L60" s="34">
        <f>-Assumptions!M$18</f>
        <v/>
      </c>
      <c r="M60" s="34">
        <f>-Assumptions!N$18</f>
        <v/>
      </c>
    </row>
    <row r="61">
      <c r="B61" s="83" t="inlineStr">
        <is>
          <t xml:space="preserve">   EBIT</t>
        </is>
      </c>
      <c r="D61" s="34">
        <f>D59+D60</f>
        <v/>
      </c>
      <c r="E61" s="34">
        <f>E59+E60</f>
        <v/>
      </c>
      <c r="F61" s="34">
        <f>F59+F60</f>
        <v/>
      </c>
      <c r="G61" s="34">
        <f>G59+G60</f>
        <v/>
      </c>
      <c r="H61" s="34">
        <f>H59+H60</f>
        <v/>
      </c>
      <c r="I61" s="34">
        <f>I59+I60</f>
        <v/>
      </c>
      <c r="J61" s="34">
        <f>J59+J60</f>
        <v/>
      </c>
      <c r="K61" s="34">
        <f>K59+K60</f>
        <v/>
      </c>
      <c r="L61" s="34">
        <f>L59+L60</f>
        <v/>
      </c>
      <c r="M61" s="34">
        <f>M59+M60</f>
        <v/>
      </c>
    </row>
    <row r="62">
      <c r="B62" s="83" t="inlineStr">
        <is>
          <t xml:space="preserve">   NOPAT</t>
        </is>
      </c>
      <c r="D62" s="34">
        <f>D61-MAX(0,D61)*Assumptions!E$22</f>
        <v/>
      </c>
      <c r="E62" s="34">
        <f>E61-MAX(0,E61)*Assumptions!F$22</f>
        <v/>
      </c>
      <c r="F62" s="34">
        <f>F61-MAX(0,F61)*Assumptions!G$22</f>
        <v/>
      </c>
      <c r="G62" s="34">
        <f>G61-MAX(0,G61)*Assumptions!H$22</f>
        <v/>
      </c>
      <c r="H62" s="34">
        <f>H61-MAX(0,H61)*Assumptions!I$22</f>
        <v/>
      </c>
      <c r="I62" s="34">
        <f>I61-MAX(0,I61)*Assumptions!J$22</f>
        <v/>
      </c>
      <c r="J62" s="34">
        <f>J61-MAX(0,J61)*Assumptions!K$22</f>
        <v/>
      </c>
      <c r="K62" s="34">
        <f>K61-MAX(0,K61)*Assumptions!L$22</f>
        <v/>
      </c>
      <c r="L62" s="34">
        <f>L61-MAX(0,L61)*Assumptions!M$22</f>
        <v/>
      </c>
      <c r="M62" s="34">
        <f>M61-MAX(0,M61)*Assumptions!N$22</f>
        <v/>
      </c>
    </row>
    <row r="63">
      <c r="B63" s="83" t="inlineStr">
        <is>
          <t xml:space="preserve">   D&amp;A</t>
        </is>
      </c>
      <c r="D63" s="34">
        <f>D58*Assumptions!E$19</f>
        <v/>
      </c>
      <c r="E63" s="34">
        <f>E58*Assumptions!F$19</f>
        <v/>
      </c>
      <c r="F63" s="34">
        <f>F58*Assumptions!G$19</f>
        <v/>
      </c>
      <c r="G63" s="34">
        <f>G58*Assumptions!H$19</f>
        <v/>
      </c>
      <c r="H63" s="34">
        <f>H58*Assumptions!I$19</f>
        <v/>
      </c>
      <c r="I63" s="34">
        <f>I58*Assumptions!J$19</f>
        <v/>
      </c>
      <c r="J63" s="34">
        <f>J58*Assumptions!K$19</f>
        <v/>
      </c>
      <c r="K63" s="34">
        <f>K58*Assumptions!L$19</f>
        <v/>
      </c>
      <c r="L63" s="34">
        <f>L58*Assumptions!M$19</f>
        <v/>
      </c>
      <c r="M63" s="34">
        <f>M58*Assumptions!N$19</f>
        <v/>
      </c>
    </row>
    <row r="64">
      <c r="B64" s="83" t="inlineStr">
        <is>
          <t xml:space="preserve">   Capex</t>
        </is>
      </c>
      <c r="D64" s="34">
        <f>-D58*(Assumptions!E$20)</f>
        <v/>
      </c>
      <c r="E64" s="34">
        <f>-E58*(Assumptions!F$20)</f>
        <v/>
      </c>
      <c r="F64" s="34">
        <f>-F58*(Assumptions!G$20+Assumptions!$D$61)</f>
        <v/>
      </c>
      <c r="G64" s="34">
        <f>-G58*(Assumptions!H$20+Assumptions!$D$61)</f>
        <v/>
      </c>
      <c r="H64" s="34">
        <f>-H58*(Assumptions!I$20+Assumptions!$D$61)</f>
        <v/>
      </c>
      <c r="I64" s="34">
        <f>-I58*(Assumptions!J$20+Assumptions!$D$61)</f>
        <v/>
      </c>
      <c r="J64" s="34">
        <f>-J58*(Assumptions!K$20+Assumptions!$D$61)</f>
        <v/>
      </c>
      <c r="K64" s="34">
        <f>-K58*(Assumptions!L$20+Assumptions!$D$61)</f>
        <v/>
      </c>
      <c r="L64" s="34">
        <f>-L58*(Assumptions!M$20+Assumptions!$D$61)</f>
        <v/>
      </c>
      <c r="M64" s="34">
        <f>-M58*(Assumptions!N$20+Assumptions!$D$61)</f>
        <v/>
      </c>
    </row>
    <row r="65">
      <c r="B65" s="83" t="inlineStr">
        <is>
          <t xml:space="preserve">   Δ working capital</t>
        </is>
      </c>
      <c r="D65" s="34">
        <f>-(D58-C58)*Assumptions!E$21</f>
        <v/>
      </c>
      <c r="E65" s="34">
        <f>-(E58-D58)*Assumptions!F$21</f>
        <v/>
      </c>
      <c r="F65" s="34">
        <f>-(F58-E58)*Assumptions!G$21</f>
        <v/>
      </c>
      <c r="G65" s="34">
        <f>-(G58-F58)*Assumptions!H$21</f>
        <v/>
      </c>
      <c r="H65" s="34">
        <f>-(H58-G58)*Assumptions!I$21</f>
        <v/>
      </c>
      <c r="I65" s="34">
        <f>-(I58-H58)*Assumptions!J$21</f>
        <v/>
      </c>
      <c r="J65" s="34">
        <f>-(J58-I58)*Assumptions!K$21</f>
        <v/>
      </c>
      <c r="K65" s="34">
        <f>-(K58-J58)*Assumptions!L$21</f>
        <v/>
      </c>
      <c r="L65" s="34">
        <f>-(L58-K58)*Assumptions!M$21</f>
        <v/>
      </c>
      <c r="M65" s="34">
        <f>-(M58-L58)*Assumptions!N$21</f>
        <v/>
      </c>
    </row>
    <row r="66">
      <c r="B66" s="83" t="inlineStr">
        <is>
          <t xml:space="preserve">   Unlevered FCF</t>
        </is>
      </c>
      <c r="D66" s="36">
        <f>D62+D63+D64+D65</f>
        <v/>
      </c>
      <c r="E66" s="36">
        <f>E62+E63+E64+E65</f>
        <v/>
      </c>
      <c r="F66" s="36">
        <f>F62+F63+F64+F65</f>
        <v/>
      </c>
      <c r="G66" s="36">
        <f>G62+G63+G64+G65</f>
        <v/>
      </c>
      <c r="H66" s="36">
        <f>H62+H63+H64+H65</f>
        <v/>
      </c>
      <c r="I66" s="36">
        <f>I62+I63+I64+I65</f>
        <v/>
      </c>
      <c r="J66" s="36">
        <f>J62+J63+J64+J65</f>
        <v/>
      </c>
      <c r="K66" s="36">
        <f>K62+K63+K64+K65</f>
        <v/>
      </c>
      <c r="L66" s="36">
        <f>L62+L63+L64+L65</f>
        <v/>
      </c>
      <c r="M66" s="36">
        <f>M62+M63+M64+M65</f>
        <v/>
      </c>
    </row>
    <row r="67">
      <c r="B67" s="83" t="inlineStr">
        <is>
          <t xml:space="preserve">   PV of FCF</t>
        </is>
      </c>
      <c r="D67" s="34">
        <f>D66*DCF!D$17/(1+$N$67)^DCF!D$18</f>
        <v/>
      </c>
      <c r="E67" s="34">
        <f>E66*DCF!E$17/(1+$N$67)^DCF!E$18</f>
        <v/>
      </c>
      <c r="F67" s="34">
        <f>F66*DCF!F$17/(1+$N$67)^DCF!F$18</f>
        <v/>
      </c>
      <c r="G67" s="34">
        <f>G66*DCF!G$17/(1+$N$67)^DCF!G$18</f>
        <v/>
      </c>
      <c r="H67" s="34">
        <f>H66*DCF!H$17/(1+$N$67)^DCF!H$18</f>
        <v/>
      </c>
      <c r="I67" s="34">
        <f>I66*DCF!I$17/(1+$N$67)^DCF!I$18</f>
        <v/>
      </c>
      <c r="J67" s="34">
        <f>J66*DCF!J$17/(1+$N$67)^DCF!J$18</f>
        <v/>
      </c>
      <c r="K67" s="34">
        <f>K66*DCF!K$17/(1+$N$67)^DCF!K$18</f>
        <v/>
      </c>
      <c r="L67" s="34">
        <f>L66*DCF!L$17/(1+$N$67)^DCF!L$18</f>
        <v/>
      </c>
      <c r="M67" s="34">
        <f>M66*DCF!M$17/(1+$N$67)^DCF!M$18</f>
        <v/>
      </c>
      <c r="N67" s="45">
        <f>DCF!$C$14+Assumptions!$D$62</f>
        <v/>
      </c>
    </row>
    <row r="68">
      <c r="N68" s="45">
        <f>Assumptions!$D$63</f>
        <v/>
      </c>
    </row>
    <row r="69">
      <c r="B69" s="82" t="inlineStr">
        <is>
          <t xml:space="preserve">   Base value per share</t>
        </is>
      </c>
      <c r="C69" s="61">
        <f>(SUM(D67:M67)+M66*(1+$N$68)/($N$67-$N$68)/(1+$N$67)^DCF!$M$18+DCF!$C$31-DCF!$C$32)/DCF!$C$34</f>
        <v/>
      </c>
    </row>
    <row r="70">
      <c r="B70" s="82" t="inlineStr">
        <is>
          <t>Bull · DRAM</t>
        </is>
      </c>
      <c r="C70" s="51">
        <f>Assumptions!$D$12</f>
        <v/>
      </c>
      <c r="D70" s="34">
        <f>C70*(1+Assumptions!E$5)*(1+Assumptions!E$6)</f>
        <v/>
      </c>
      <c r="E70" s="34">
        <f>D70*(1+Assumptions!F$5)*(1+Assumptions!F$6)</f>
        <v/>
      </c>
      <c r="F70" s="34">
        <f>E70*(1+Assumptions!G$5)*(1+Assumptions!G$6+Assumptions!$E$59)</f>
        <v/>
      </c>
      <c r="G70" s="34">
        <f>F70*(1+Assumptions!H$5)*(1+Assumptions!H$6+Assumptions!$E$59)</f>
        <v/>
      </c>
      <c r="H70" s="34">
        <f>G70*(1+Assumptions!I$5)*(1+Assumptions!I$6+Assumptions!$E$59)</f>
        <v/>
      </c>
      <c r="I70" s="34">
        <f>H70*(1+Assumptions!J$5)*(1+Assumptions!J$6)</f>
        <v/>
      </c>
      <c r="J70" s="34">
        <f>I70*(1+Assumptions!K$5)*(1+Assumptions!K$6)</f>
        <v/>
      </c>
      <c r="K70" s="34">
        <f>J70*(1+Assumptions!L$5)*(1+Assumptions!L$6)</f>
        <v/>
      </c>
      <c r="L70" s="34">
        <f>K70*(1+Assumptions!M$5)*(1+Assumptions!M$6)</f>
        <v/>
      </c>
      <c r="M70" s="34">
        <f>L70*(1+Assumptions!N$5)*(1+Assumptions!N$6)</f>
        <v/>
      </c>
    </row>
    <row r="71">
      <c r="B71" s="83" t="inlineStr">
        <is>
          <t xml:space="preserve">   NAND</t>
        </is>
      </c>
      <c r="C71" s="51">
        <f>Assumptions!$D$13</f>
        <v/>
      </c>
      <c r="D71" s="34">
        <f>C71*(1+Assumptions!E$7)*(1+Assumptions!E$8)</f>
        <v/>
      </c>
      <c r="E71" s="34">
        <f>D71*(1+Assumptions!F$7)*(1+Assumptions!F$8)</f>
        <v/>
      </c>
      <c r="F71" s="34">
        <f>E71*(1+Assumptions!G$7)*(1+Assumptions!G$8+Assumptions!$E$59)</f>
        <v/>
      </c>
      <c r="G71" s="34">
        <f>F71*(1+Assumptions!H$7)*(1+Assumptions!H$8+Assumptions!$E$59)</f>
        <v/>
      </c>
      <c r="H71" s="34">
        <f>G71*(1+Assumptions!I$7)*(1+Assumptions!I$8+Assumptions!$E$59)</f>
        <v/>
      </c>
      <c r="I71" s="34">
        <f>H71*(1+Assumptions!J$7)*(1+Assumptions!J$8)</f>
        <v/>
      </c>
      <c r="J71" s="34">
        <f>I71*(1+Assumptions!K$7)*(1+Assumptions!K$8)</f>
        <v/>
      </c>
      <c r="K71" s="34">
        <f>J71*(1+Assumptions!L$7)*(1+Assumptions!L$8)</f>
        <v/>
      </c>
      <c r="L71" s="34">
        <f>K71*(1+Assumptions!M$7)*(1+Assumptions!M$8)</f>
        <v/>
      </c>
      <c r="M71" s="34">
        <f>L71*(1+Assumptions!N$7)*(1+Assumptions!N$8)</f>
        <v/>
      </c>
    </row>
    <row r="72">
      <c r="B72" s="83" t="inlineStr">
        <is>
          <t xml:space="preserve">   Total revenue</t>
        </is>
      </c>
      <c r="C72" s="34">
        <f>C70+C71</f>
        <v/>
      </c>
      <c r="D72" s="34">
        <f>D70+D71</f>
        <v/>
      </c>
      <c r="E72" s="34">
        <f>E70+E71</f>
        <v/>
      </c>
      <c r="F72" s="34">
        <f>F70+F71</f>
        <v/>
      </c>
      <c r="G72" s="34">
        <f>G70+G71</f>
        <v/>
      </c>
      <c r="H72" s="34">
        <f>H70+H71</f>
        <v/>
      </c>
      <c r="I72" s="34">
        <f>I70+I71</f>
        <v/>
      </c>
      <c r="J72" s="34">
        <f>J70+J71</f>
        <v/>
      </c>
      <c r="K72" s="34">
        <f>K70+K71</f>
        <v/>
      </c>
      <c r="L72" s="34">
        <f>L70+L71</f>
        <v/>
      </c>
      <c r="M72" s="34">
        <f>M70+M71</f>
        <v/>
      </c>
    </row>
    <row r="73">
      <c r="B73" s="83" t="inlineStr">
        <is>
          <t xml:space="preserve">   Gross profit</t>
        </is>
      </c>
      <c r="D73" s="34">
        <f>D72*(Assumptions!E$17)</f>
        <v/>
      </c>
      <c r="E73" s="34">
        <f>E72*(Assumptions!F$17)</f>
        <v/>
      </c>
      <c r="F73" s="34">
        <f>F72*(Assumptions!G$17+Assumptions!$E$60)</f>
        <v/>
      </c>
      <c r="G73" s="34">
        <f>G72*(Assumptions!H$17+Assumptions!$E$60)</f>
        <v/>
      </c>
      <c r="H73" s="34">
        <f>H72*(Assumptions!I$17+Assumptions!$E$60)</f>
        <v/>
      </c>
      <c r="I73" s="34">
        <f>I72*(Assumptions!J$17+Assumptions!$E$60)</f>
        <v/>
      </c>
      <c r="J73" s="34">
        <f>J72*(Assumptions!K$17+Assumptions!$E$60)</f>
        <v/>
      </c>
      <c r="K73" s="34">
        <f>K72*(Assumptions!L$17+Assumptions!$E$60)</f>
        <v/>
      </c>
      <c r="L73" s="34">
        <f>L72*(Assumptions!M$17+Assumptions!$E$60)</f>
        <v/>
      </c>
      <c r="M73" s="34">
        <f>M72*(Assumptions!N$17+Assumptions!$E$60)</f>
        <v/>
      </c>
    </row>
    <row r="74">
      <c r="B74" s="83" t="inlineStr">
        <is>
          <t xml:space="preserve">   Opex</t>
        </is>
      </c>
      <c r="D74" s="34">
        <f>-Assumptions!E$18</f>
        <v/>
      </c>
      <c r="E74" s="34">
        <f>-Assumptions!F$18</f>
        <v/>
      </c>
      <c r="F74" s="34">
        <f>-Assumptions!G$18</f>
        <v/>
      </c>
      <c r="G74" s="34">
        <f>-Assumptions!H$18</f>
        <v/>
      </c>
      <c r="H74" s="34">
        <f>-Assumptions!I$18</f>
        <v/>
      </c>
      <c r="I74" s="34">
        <f>-Assumptions!J$18</f>
        <v/>
      </c>
      <c r="J74" s="34">
        <f>-Assumptions!K$18</f>
        <v/>
      </c>
      <c r="K74" s="34">
        <f>-Assumptions!L$18</f>
        <v/>
      </c>
      <c r="L74" s="34">
        <f>-Assumptions!M$18</f>
        <v/>
      </c>
      <c r="M74" s="34">
        <f>-Assumptions!N$18</f>
        <v/>
      </c>
    </row>
    <row r="75">
      <c r="B75" s="83" t="inlineStr">
        <is>
          <t xml:space="preserve">   EBIT</t>
        </is>
      </c>
      <c r="D75" s="34">
        <f>D73+D74</f>
        <v/>
      </c>
      <c r="E75" s="34">
        <f>E73+E74</f>
        <v/>
      </c>
      <c r="F75" s="34">
        <f>F73+F74</f>
        <v/>
      </c>
      <c r="G75" s="34">
        <f>G73+G74</f>
        <v/>
      </c>
      <c r="H75" s="34">
        <f>H73+H74</f>
        <v/>
      </c>
      <c r="I75" s="34">
        <f>I73+I74</f>
        <v/>
      </c>
      <c r="J75" s="34">
        <f>J73+J74</f>
        <v/>
      </c>
      <c r="K75" s="34">
        <f>K73+K74</f>
        <v/>
      </c>
      <c r="L75" s="34">
        <f>L73+L74</f>
        <v/>
      </c>
      <c r="M75" s="34">
        <f>M73+M74</f>
        <v/>
      </c>
    </row>
    <row r="76">
      <c r="B76" s="83" t="inlineStr">
        <is>
          <t xml:space="preserve">   NOPAT</t>
        </is>
      </c>
      <c r="D76" s="34">
        <f>D75-MAX(0,D75)*Assumptions!E$22</f>
        <v/>
      </c>
      <c r="E76" s="34">
        <f>E75-MAX(0,E75)*Assumptions!F$22</f>
        <v/>
      </c>
      <c r="F76" s="34">
        <f>F75-MAX(0,F75)*Assumptions!G$22</f>
        <v/>
      </c>
      <c r="G76" s="34">
        <f>G75-MAX(0,G75)*Assumptions!H$22</f>
        <v/>
      </c>
      <c r="H76" s="34">
        <f>H75-MAX(0,H75)*Assumptions!I$22</f>
        <v/>
      </c>
      <c r="I76" s="34">
        <f>I75-MAX(0,I75)*Assumptions!J$22</f>
        <v/>
      </c>
      <c r="J76" s="34">
        <f>J75-MAX(0,J75)*Assumptions!K$22</f>
        <v/>
      </c>
      <c r="K76" s="34">
        <f>K75-MAX(0,K75)*Assumptions!L$22</f>
        <v/>
      </c>
      <c r="L76" s="34">
        <f>L75-MAX(0,L75)*Assumptions!M$22</f>
        <v/>
      </c>
      <c r="M76" s="34">
        <f>M75-MAX(0,M75)*Assumptions!N$22</f>
        <v/>
      </c>
    </row>
    <row r="77">
      <c r="B77" s="83" t="inlineStr">
        <is>
          <t xml:space="preserve">   D&amp;A</t>
        </is>
      </c>
      <c r="D77" s="34">
        <f>D72*Assumptions!E$19</f>
        <v/>
      </c>
      <c r="E77" s="34">
        <f>E72*Assumptions!F$19</f>
        <v/>
      </c>
      <c r="F77" s="34">
        <f>F72*Assumptions!G$19</f>
        <v/>
      </c>
      <c r="G77" s="34">
        <f>G72*Assumptions!H$19</f>
        <v/>
      </c>
      <c r="H77" s="34">
        <f>H72*Assumptions!I$19</f>
        <v/>
      </c>
      <c r="I77" s="34">
        <f>I72*Assumptions!J$19</f>
        <v/>
      </c>
      <c r="J77" s="34">
        <f>J72*Assumptions!K$19</f>
        <v/>
      </c>
      <c r="K77" s="34">
        <f>K72*Assumptions!L$19</f>
        <v/>
      </c>
      <c r="L77" s="34">
        <f>L72*Assumptions!M$19</f>
        <v/>
      </c>
      <c r="M77" s="34">
        <f>M72*Assumptions!N$19</f>
        <v/>
      </c>
    </row>
    <row r="78">
      <c r="B78" s="83" t="inlineStr">
        <is>
          <t xml:space="preserve">   Capex</t>
        </is>
      </c>
      <c r="D78" s="34">
        <f>-D72*(Assumptions!E$20)</f>
        <v/>
      </c>
      <c r="E78" s="34">
        <f>-E72*(Assumptions!F$20)</f>
        <v/>
      </c>
      <c r="F78" s="34">
        <f>-F72*(Assumptions!G$20+Assumptions!$E$61)</f>
        <v/>
      </c>
      <c r="G78" s="34">
        <f>-G72*(Assumptions!H$20+Assumptions!$E$61)</f>
        <v/>
      </c>
      <c r="H78" s="34">
        <f>-H72*(Assumptions!I$20+Assumptions!$E$61)</f>
        <v/>
      </c>
      <c r="I78" s="34">
        <f>-I72*(Assumptions!J$20+Assumptions!$E$61)</f>
        <v/>
      </c>
      <c r="J78" s="34">
        <f>-J72*(Assumptions!K$20+Assumptions!$E$61)</f>
        <v/>
      </c>
      <c r="K78" s="34">
        <f>-K72*(Assumptions!L$20+Assumptions!$E$61)</f>
        <v/>
      </c>
      <c r="L78" s="34">
        <f>-L72*(Assumptions!M$20+Assumptions!$E$61)</f>
        <v/>
      </c>
      <c r="M78" s="34">
        <f>-M72*(Assumptions!N$20+Assumptions!$E$61)</f>
        <v/>
      </c>
    </row>
    <row r="79">
      <c r="B79" s="83" t="inlineStr">
        <is>
          <t xml:space="preserve">   Δ working capital</t>
        </is>
      </c>
      <c r="D79" s="34">
        <f>-(D72-C72)*Assumptions!E$21</f>
        <v/>
      </c>
      <c r="E79" s="34">
        <f>-(E72-D72)*Assumptions!F$21</f>
        <v/>
      </c>
      <c r="F79" s="34">
        <f>-(F72-E72)*Assumptions!G$21</f>
        <v/>
      </c>
      <c r="G79" s="34">
        <f>-(G72-F72)*Assumptions!H$21</f>
        <v/>
      </c>
      <c r="H79" s="34">
        <f>-(H72-G72)*Assumptions!I$21</f>
        <v/>
      </c>
      <c r="I79" s="34">
        <f>-(I72-H72)*Assumptions!J$21</f>
        <v/>
      </c>
      <c r="J79" s="34">
        <f>-(J72-I72)*Assumptions!K$21</f>
        <v/>
      </c>
      <c r="K79" s="34">
        <f>-(K72-J72)*Assumptions!L$21</f>
        <v/>
      </c>
      <c r="L79" s="34">
        <f>-(L72-K72)*Assumptions!M$21</f>
        <v/>
      </c>
      <c r="M79" s="34">
        <f>-(M72-L72)*Assumptions!N$21</f>
        <v/>
      </c>
    </row>
    <row r="80">
      <c r="B80" s="83" t="inlineStr">
        <is>
          <t xml:space="preserve">   Unlevered FCF</t>
        </is>
      </c>
      <c r="D80" s="36">
        <f>D76+D77+D78+D79</f>
        <v/>
      </c>
      <c r="E80" s="36">
        <f>E76+E77+E78+E79</f>
        <v/>
      </c>
      <c r="F80" s="36">
        <f>F76+F77+F78+F79</f>
        <v/>
      </c>
      <c r="G80" s="36">
        <f>G76+G77+G78+G79</f>
        <v/>
      </c>
      <c r="H80" s="36">
        <f>H76+H77+H78+H79</f>
        <v/>
      </c>
      <c r="I80" s="36">
        <f>I76+I77+I78+I79</f>
        <v/>
      </c>
      <c r="J80" s="36">
        <f>J76+J77+J78+J79</f>
        <v/>
      </c>
      <c r="K80" s="36">
        <f>K76+K77+K78+K79</f>
        <v/>
      </c>
      <c r="L80" s="36">
        <f>L76+L77+L78+L79</f>
        <v/>
      </c>
      <c r="M80" s="36">
        <f>M76+M77+M78+M79</f>
        <v/>
      </c>
    </row>
    <row r="81">
      <c r="B81" s="83" t="inlineStr">
        <is>
          <t xml:space="preserve">   PV of FCF</t>
        </is>
      </c>
      <c r="D81" s="34">
        <f>D80*DCF!D$17/(1+$N$81)^DCF!D$18</f>
        <v/>
      </c>
      <c r="E81" s="34">
        <f>E80*DCF!E$17/(1+$N$81)^DCF!E$18</f>
        <v/>
      </c>
      <c r="F81" s="34">
        <f>F80*DCF!F$17/(1+$N$81)^DCF!F$18</f>
        <v/>
      </c>
      <c r="G81" s="34">
        <f>G80*DCF!G$17/(1+$N$81)^DCF!G$18</f>
        <v/>
      </c>
      <c r="H81" s="34">
        <f>H80*DCF!H$17/(1+$N$81)^DCF!H$18</f>
        <v/>
      </c>
      <c r="I81" s="34">
        <f>I80*DCF!I$17/(1+$N$81)^DCF!I$18</f>
        <v/>
      </c>
      <c r="J81" s="34">
        <f>J80*DCF!J$17/(1+$N$81)^DCF!J$18</f>
        <v/>
      </c>
      <c r="K81" s="34">
        <f>K80*DCF!K$17/(1+$N$81)^DCF!K$18</f>
        <v/>
      </c>
      <c r="L81" s="34">
        <f>L80*DCF!L$17/(1+$N$81)^DCF!L$18</f>
        <v/>
      </c>
      <c r="M81" s="34">
        <f>M80*DCF!M$17/(1+$N$81)^DCF!M$18</f>
        <v/>
      </c>
      <c r="N81" s="45">
        <f>DCF!$C$14+Assumptions!$E$62</f>
        <v/>
      </c>
    </row>
    <row r="82">
      <c r="N82" s="45">
        <f>Assumptions!$E$63</f>
        <v/>
      </c>
    </row>
    <row r="83">
      <c r="B83" s="82" t="inlineStr">
        <is>
          <t xml:space="preserve">   Bull value per share</t>
        </is>
      </c>
      <c r="C83" s="61">
        <f>(SUM(D81:M81)+M80*(1+$N$82)/($N$81-$N$82)/(1+$N$81)^DCF!$M$18+DCF!$C$31-DCF!$C$32)/DCF!$C$34</f>
        <v/>
      </c>
    </row>
    <row r="84" ht="4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>
      <c r="B85" s="25" t="inlineStr">
        <is>
          <t>Francisco Rodriguez  |  Financial Modeling Portfolio  |  github.com/Azyo1</t>
        </is>
      </c>
    </row>
  </sheetData>
  <mergeCells count="29">
    <mergeCell ref="B2:M2"/>
    <mergeCell ref="C15:D15"/>
    <mergeCell ref="B25:I25"/>
    <mergeCell ref="B3:I3"/>
    <mergeCell ref="C14:D14"/>
    <mergeCell ref="E14:F14"/>
    <mergeCell ref="E17:F17"/>
    <mergeCell ref="G17:H17"/>
    <mergeCell ref="B12:I12"/>
    <mergeCell ref="C20:D20"/>
    <mergeCell ref="E20:F20"/>
    <mergeCell ref="C16:D16"/>
    <mergeCell ref="E19:F19"/>
    <mergeCell ref="G19:H19"/>
    <mergeCell ref="E13:F13"/>
    <mergeCell ref="B40:M40"/>
    <mergeCell ref="G13:H13"/>
    <mergeCell ref="G18:H18"/>
    <mergeCell ref="E15:F15"/>
    <mergeCell ref="G15:H15"/>
    <mergeCell ref="G14:H14"/>
    <mergeCell ref="C17:D17"/>
    <mergeCell ref="G20:H20"/>
    <mergeCell ref="E16:F16"/>
    <mergeCell ref="G16:H16"/>
    <mergeCell ref="C19:D19"/>
    <mergeCell ref="C13:D13"/>
    <mergeCell ref="C18:D18"/>
    <mergeCell ref="E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2026-10-15T12:50:52Z</dcterms:created>
  <dcterms:modified xsi:type="dcterms:W3CDTF">2026-10-15T12:50:52Z</dcterms:modified>
</cp:coreProperties>
</file>